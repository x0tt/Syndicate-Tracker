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 Page" sheetId="1" r:id="rId5"/>
    <sheet state="visible" name="Bets" sheetId="2" r:id="rId6"/>
    <sheet state="visible" name="Leaderboard" sheetId="3" r:id="rId7"/>
    <sheet state="visible" name="Copy of Pivot table" sheetId="4" r:id="rId8"/>
    <sheet state="visible" name="Sheet10" sheetId="5" r:id="rId9"/>
    <sheet state="visible" name="Charts" sheetId="6" r:id="rId10"/>
    <sheet state="visible" name="Betting Habits" sheetId="7" r:id="rId11"/>
    <sheet state="visible" name="Rounds" sheetId="8" r:id="rId12"/>
  </sheets>
  <definedNames>
    <definedName hidden="1" localSheetId="3" name="_xlnm._FilterDatabase">'Copy of Pivot table'!$E$2:$H$5</definedName>
  </definedNames>
  <calcPr/>
</workbook>
</file>

<file path=xl/sharedStrings.xml><?xml version="1.0" encoding="utf-8"?>
<sst xmlns="http://schemas.openxmlformats.org/spreadsheetml/2006/main" count="3710" uniqueCount="299">
  <si>
    <t>State of Affairs</t>
  </si>
  <si>
    <t>Most Recent Round</t>
  </si>
  <si>
    <t>Starting Balance</t>
  </si>
  <si>
    <t>Current Balance</t>
  </si>
  <si>
    <t>Current ROI</t>
  </si>
  <si>
    <t>Live Bets</t>
  </si>
  <si>
    <t>Total Bets</t>
  </si>
  <si>
    <t>Average Bet</t>
  </si>
  <si>
    <t>Average Odds @</t>
  </si>
  <si>
    <t>Average Result</t>
  </si>
  <si>
    <t>Index</t>
  </si>
  <si>
    <t>Date</t>
  </si>
  <si>
    <t>Matchday</t>
  </si>
  <si>
    <t>Home Team</t>
  </si>
  <si>
    <t>Home</t>
  </si>
  <si>
    <t>Away Team</t>
  </si>
  <si>
    <t>Away</t>
  </si>
  <si>
    <t>Bet Type</t>
  </si>
  <si>
    <t>Betting Option</t>
  </si>
  <si>
    <t>Supporting</t>
  </si>
  <si>
    <t>Odds</t>
  </si>
  <si>
    <t>Stake</t>
  </si>
  <si>
    <t>Result</t>
  </si>
  <si>
    <t>Payout</t>
  </si>
  <si>
    <t>Winnings</t>
  </si>
  <si>
    <t>Profit/Loss</t>
  </si>
  <si>
    <t>Return%</t>
  </si>
  <si>
    <t>Market</t>
  </si>
  <si>
    <t>Sport</t>
  </si>
  <si>
    <t>DOTW</t>
  </si>
  <si>
    <t>Notes</t>
  </si>
  <si>
    <t>Man Utd</t>
  </si>
  <si>
    <t>Fulham</t>
  </si>
  <si>
    <t>Full Time Result</t>
  </si>
  <si>
    <t>W</t>
  </si>
  <si>
    <t>EPL 24/25</t>
  </si>
  <si>
    <t>Football</t>
  </si>
  <si>
    <t>Arsenal</t>
  </si>
  <si>
    <t>Wolves</t>
  </si>
  <si>
    <t>Asian Handicap</t>
  </si>
  <si>
    <t>Arsenal-1.5</t>
  </si>
  <si>
    <t>West Ham</t>
  </si>
  <si>
    <t>Villa</t>
  </si>
  <si>
    <t>Draw</t>
  </si>
  <si>
    <t>L</t>
  </si>
  <si>
    <t>Brentford</t>
  </si>
  <si>
    <t>Palace</t>
  </si>
  <si>
    <t>Double Chance</t>
  </si>
  <si>
    <t>Palace or Draw</t>
  </si>
  <si>
    <t>Leicester</t>
  </si>
  <si>
    <t>Tottenham</t>
  </si>
  <si>
    <t>Brighton</t>
  </si>
  <si>
    <t>Draw No Bet</t>
  </si>
  <si>
    <t>Man City</t>
  </si>
  <si>
    <t>Ipswich</t>
  </si>
  <si>
    <t>Handicap</t>
  </si>
  <si>
    <t>Man City -1</t>
  </si>
  <si>
    <t>Everton</t>
  </si>
  <si>
    <t>Bournemouth</t>
  </si>
  <si>
    <t>Newcastle</t>
  </si>
  <si>
    <t>Bournemouth +2</t>
  </si>
  <si>
    <t>Liverpool</t>
  </si>
  <si>
    <t>Liverpool -1</t>
  </si>
  <si>
    <t>Xanderdu middle debut</t>
  </si>
  <si>
    <t xml:space="preserve"> </t>
  </si>
  <si>
    <t>Brighton +3</t>
  </si>
  <si>
    <t>Ipswich +2</t>
  </si>
  <si>
    <t>Xanderdu middle 2 electric boogaloo</t>
  </si>
  <si>
    <t>Fulham +1</t>
  </si>
  <si>
    <t>Chelsea</t>
  </si>
  <si>
    <t>Multiple</t>
  </si>
  <si>
    <t>Relegation</t>
  </si>
  <si>
    <t>Taken with the intent of cashing out at $4.80 or after 6 weeks</t>
  </si>
  <si>
    <t>Null</t>
  </si>
  <si>
    <t>Mexico</t>
  </si>
  <si>
    <t>New Zealand</t>
  </si>
  <si>
    <t>New Zealand or Draw</t>
  </si>
  <si>
    <t>World Cup OFC qualification</t>
  </si>
  <si>
    <t>Forest</t>
  </si>
  <si>
    <t>Newcastle or Draw</t>
  </si>
  <si>
    <t>Leicester +1</t>
  </si>
  <si>
    <t>Man Utd +1</t>
  </si>
  <si>
    <t>BTTS</t>
  </si>
  <si>
    <t>Yes</t>
  </si>
  <si>
    <t>Everton +1</t>
  </si>
  <si>
    <t>Arsenal-1</t>
  </si>
  <si>
    <t xml:space="preserve">Liverpool </t>
  </si>
  <si>
    <t xml:space="preserve">Villa </t>
  </si>
  <si>
    <t>Southampton</t>
  </si>
  <si>
    <t>Villa +1</t>
  </si>
  <si>
    <t>Tahiti</t>
  </si>
  <si>
    <t>New Zealand -2</t>
  </si>
  <si>
    <t>New Zealand -4</t>
  </si>
  <si>
    <t>Malaysia</t>
  </si>
  <si>
    <t>Brentford +2</t>
  </si>
  <si>
    <t>P</t>
  </si>
  <si>
    <t>Brentford +1</t>
  </si>
  <si>
    <t>Southampton +4</t>
  </si>
  <si>
    <t xml:space="preserve">Chelsea </t>
  </si>
  <si>
    <t xml:space="preserve">Man City </t>
  </si>
  <si>
    <t xml:space="preserve">Forest </t>
  </si>
  <si>
    <t>Palace +1</t>
  </si>
  <si>
    <t>Brighton +2</t>
  </si>
  <si>
    <t>Forest +1</t>
  </si>
  <si>
    <t>Tottenham -1</t>
  </si>
  <si>
    <t>Vanuatu</t>
  </si>
  <si>
    <t>No</t>
  </si>
  <si>
    <t>Samoa</t>
  </si>
  <si>
    <t>Goal Line</t>
  </si>
  <si>
    <t xml:space="preserve">Over 8.5 goals </t>
  </si>
  <si>
    <t xml:space="preserve">Brentford </t>
  </si>
  <si>
    <t>Villa -1</t>
  </si>
  <si>
    <t>Accumulator</t>
  </si>
  <si>
    <t>Arsenal, Newcastle, Liverpool, Man City, Chelsea</t>
  </si>
  <si>
    <t>Arsenal, Newcastle, Liverpool, Man City</t>
  </si>
  <si>
    <t>Arsenal, Newcastle, Liverpool, Chelsea</t>
  </si>
  <si>
    <t>Arsenal, Newcastle, Man City, Chelsea</t>
  </si>
  <si>
    <t>Arsenal, Liverpool, Man City, Chelsea</t>
  </si>
  <si>
    <t>Newcastle, Liverpool, Man City, Chelsea</t>
  </si>
  <si>
    <t>Arsenal, Newcastle, Liverpool</t>
  </si>
  <si>
    <t>Arsenal, Newcastle, Chelsea</t>
  </si>
  <si>
    <t>Arsenal, Liverpool, Chelsea</t>
  </si>
  <si>
    <t>Newcastle, Liverpool, Chelsea</t>
  </si>
  <si>
    <t xml:space="preserve">Bournemouth </t>
  </si>
  <si>
    <t>Liverpool, Tottenham, Newcastle, Bournemouth</t>
  </si>
  <si>
    <t>FA cup 2025</t>
  </si>
  <si>
    <t>Liverpool, Tottenham, City, Newcastle, Brentford</t>
  </si>
  <si>
    <t>Liverpool, Tottenham, Newcastle, City, Forest</t>
  </si>
  <si>
    <t>Liverpool, Tottenham, City, Newcastle, Leeds, Bournemouth, Brentford, Forest, Chelsea</t>
  </si>
  <si>
    <t xml:space="preserve">Liverpool, Forest, City, Newcastle, </t>
  </si>
  <si>
    <t>City, Newcastle, Liverpool, Forest</t>
  </si>
  <si>
    <t>Liverpool -2</t>
  </si>
  <si>
    <t>Villa (+1)</t>
  </si>
  <si>
    <t>Palace, City, Forest</t>
  </si>
  <si>
    <t>Palace, Bournemouth, City, Forest</t>
  </si>
  <si>
    <t>Chelsea +1, Liverpool</t>
  </si>
  <si>
    <t>Brighton +1</t>
  </si>
  <si>
    <t>To Score Anytime</t>
  </si>
  <si>
    <t>Chris Wook</t>
  </si>
  <si>
    <t>Fiji</t>
  </si>
  <si>
    <t>Bet Builder</t>
  </si>
  <si>
    <t>1st half NZ, 2nd half NZ</t>
  </si>
  <si>
    <t>Total Goals</t>
  </si>
  <si>
    <t>Over 3.5</t>
  </si>
  <si>
    <t>1st Half Goal Line</t>
  </si>
  <si>
    <t>Over 1.5</t>
  </si>
  <si>
    <t>1st half NZ, 2nd Half NZ, over 1 goal in 1st half, over 3 goals</t>
  </si>
  <si>
    <t>Preston</t>
  </si>
  <si>
    <t>To Qualify</t>
  </si>
  <si>
    <t>Bournemouth, City, Palace</t>
  </si>
  <si>
    <t>Brighton, Chelsea, Newcastle, City</t>
  </si>
  <si>
    <t xml:space="preserve">City </t>
  </si>
  <si>
    <t>PSG</t>
  </si>
  <si>
    <t>Champions League 2025</t>
  </si>
  <si>
    <t>Winner</t>
  </si>
  <si>
    <t>Method of Victory</t>
  </si>
  <si>
    <t>Palace in ET</t>
  </si>
  <si>
    <t>City</t>
  </si>
  <si>
    <t>Auckland FC to qualify, Melbourne City to qualify</t>
  </si>
  <si>
    <t>A-League 2025</t>
  </si>
  <si>
    <t>Auckland FC DNB, Melbourne City DNB</t>
  </si>
  <si>
    <t>Man CIty, Villa, Newcastle</t>
  </si>
  <si>
    <t>DNB Liverpool, Forest, Tottenham</t>
  </si>
  <si>
    <t>Man CIty, Villa, Newcastle to win, DNB Liverpool, Forest, Tottenham</t>
  </si>
  <si>
    <t>Gyori Eto Women</t>
  </si>
  <si>
    <t>Team Esbjerg Women</t>
  </si>
  <si>
    <t>Gyori Eto</t>
  </si>
  <si>
    <t>EHF Champions League Women 24/25</t>
  </si>
  <si>
    <t>Handball</t>
  </si>
  <si>
    <t>Metz Women</t>
  </si>
  <si>
    <t>Odense Handbold Women</t>
  </si>
  <si>
    <t>Metz</t>
  </si>
  <si>
    <t xml:space="preserve">Gyori Eto </t>
  </si>
  <si>
    <t>Turkey</t>
  </si>
  <si>
    <t>Poland</t>
  </si>
  <si>
    <t>VNL Women's 25</t>
  </si>
  <si>
    <t>Volleyball</t>
  </si>
  <si>
    <t>Inter Miami</t>
  </si>
  <si>
    <t>Al Ahly Cairo</t>
  </si>
  <si>
    <t>Miami</t>
  </si>
  <si>
    <t>Club World Cup</t>
  </si>
  <si>
    <t>Athletico Madrid</t>
  </si>
  <si>
    <t>Palmeiras</t>
  </si>
  <si>
    <t>FC Porto</t>
  </si>
  <si>
    <t>Botafogo</t>
  </si>
  <si>
    <t>Seattle</t>
  </si>
  <si>
    <t>PSG dnb, Palmeiras dnb, Botafogo dnb</t>
  </si>
  <si>
    <t>Los Angeles FC</t>
  </si>
  <si>
    <t>Benfica</t>
  </si>
  <si>
    <t xml:space="preserve">Boca Juniors </t>
  </si>
  <si>
    <t>Benefica</t>
  </si>
  <si>
    <t xml:space="preserve">Benefica </t>
  </si>
  <si>
    <t xml:space="preserve">Flamengo </t>
  </si>
  <si>
    <t>Esperance de Tunis</t>
  </si>
  <si>
    <t xml:space="preserve">Multiple </t>
  </si>
  <si>
    <t xml:space="preserve">Chelsea, Benefica DNB, Flamengo </t>
  </si>
  <si>
    <t xml:space="preserve">Borussia Dortmund </t>
  </si>
  <si>
    <t xml:space="preserve">Fluminense </t>
  </si>
  <si>
    <t>Borussia Dortmund</t>
  </si>
  <si>
    <t>River Plate</t>
  </si>
  <si>
    <t xml:space="preserve">Urawa Red Diamonds </t>
  </si>
  <si>
    <t xml:space="preserve">Mamelodi Sundowns </t>
  </si>
  <si>
    <t xml:space="preserve">Hyundai </t>
  </si>
  <si>
    <t xml:space="preserve">Monterrey </t>
  </si>
  <si>
    <t>Inter Milan</t>
  </si>
  <si>
    <t>Dortmund DNB, River Plate DNB, Mamelodi DNB, Inter to win</t>
  </si>
  <si>
    <t>Real Madrid</t>
  </si>
  <si>
    <t>Al Hilal Riyadh</t>
  </si>
  <si>
    <t xml:space="preserve">Real Madrid </t>
  </si>
  <si>
    <t>Salzburg</t>
  </si>
  <si>
    <t>Pachuca</t>
  </si>
  <si>
    <t xml:space="preserve">Juventus </t>
  </si>
  <si>
    <t>Al Ain</t>
  </si>
  <si>
    <t xml:space="preserve">Real Madrid, Salzburg, Juventus </t>
  </si>
  <si>
    <t xml:space="preserve">Inter Milan </t>
  </si>
  <si>
    <t xml:space="preserve">Botafoga </t>
  </si>
  <si>
    <t xml:space="preserve">L </t>
  </si>
  <si>
    <t>Palmeiras, Porto, Atletico Madrid, PSG</t>
  </si>
  <si>
    <t>Flamengo</t>
  </si>
  <si>
    <t>Bayern Munich</t>
  </si>
  <si>
    <t>Chelsea, Los Angeles FC, Bayern Munich</t>
  </si>
  <si>
    <t>Monterrey</t>
  </si>
  <si>
    <t>Borussia Dortmund, Inter MIlan, Fluminense, River Plate</t>
  </si>
  <si>
    <t>Juventus</t>
  </si>
  <si>
    <t>Casablanca</t>
  </si>
  <si>
    <t xml:space="preserve">Pachuca </t>
  </si>
  <si>
    <t>RAl Hilal Riyadh</t>
  </si>
  <si>
    <t xml:space="preserve">Salzburg </t>
  </si>
  <si>
    <t>Juventus, Real  Madrid, Riyadh, Man City</t>
  </si>
  <si>
    <t xml:space="preserve">PSG </t>
  </si>
  <si>
    <t xml:space="preserve">Seattle </t>
  </si>
  <si>
    <t xml:space="preserve">FC Porto </t>
  </si>
  <si>
    <t xml:space="preserve">Palmeiras </t>
  </si>
  <si>
    <t xml:space="preserve">Inter Miami </t>
  </si>
  <si>
    <t xml:space="preserve">PSG, Athletico Madrid, </t>
  </si>
  <si>
    <t xml:space="preserve">Benfica </t>
  </si>
  <si>
    <t>Botafoga</t>
  </si>
  <si>
    <t>Palmeiras, Chelsea</t>
  </si>
  <si>
    <t>PSG, Bayern Munich</t>
  </si>
  <si>
    <t>Inter Milan, Man City</t>
  </si>
  <si>
    <t>Dortmund</t>
  </si>
  <si>
    <t>Real Madrid, Dortmund</t>
  </si>
  <si>
    <t>Fluminense</t>
  </si>
  <si>
    <t>PSG full time winner, BTTS No</t>
  </si>
  <si>
    <t>EPL 25/26</t>
  </si>
  <si>
    <t>John</t>
  </si>
  <si>
    <t>Burnley</t>
  </si>
  <si>
    <t>Richard</t>
  </si>
  <si>
    <t>Leeds</t>
  </si>
  <si>
    <t>Xander</t>
  </si>
  <si>
    <t>Sunderland</t>
  </si>
  <si>
    <t>Australia</t>
  </si>
  <si>
    <t>International Football</t>
  </si>
  <si>
    <t>To Score</t>
  </si>
  <si>
    <t>Round 12 multi</t>
  </si>
  <si>
    <t>multiple</t>
  </si>
  <si>
    <t>Round 13 multi</t>
  </si>
  <si>
    <t>Round 15 multi</t>
  </si>
  <si>
    <t>Round 16 multi</t>
  </si>
  <si>
    <t>Round 19 Multi</t>
  </si>
  <si>
    <t>Palace +2</t>
  </si>
  <si>
    <t>Round 20 Multi</t>
  </si>
  <si>
    <t>Round 21 Multi</t>
  </si>
  <si>
    <t>FA cup 2026</t>
  </si>
  <si>
    <t>Macclesfield</t>
  </si>
  <si>
    <t>Shrewsbury Town</t>
  </si>
  <si>
    <t>Sheffield Wednesday</t>
  </si>
  <si>
    <t>Exeter City</t>
  </si>
  <si>
    <t>Charlton Athletic</t>
  </si>
  <si>
    <t>FA Cup Multi</t>
  </si>
  <si>
    <t>Portsmouth</t>
  </si>
  <si>
    <t>Barnsley</t>
  </si>
  <si>
    <t>Round 22 Multi</t>
  </si>
  <si>
    <t>Round 23 Multi</t>
  </si>
  <si>
    <t>Round 24 Multi</t>
  </si>
  <si>
    <t>Round 25 Multi</t>
  </si>
  <si>
    <t>New England Patriots</t>
  </si>
  <si>
    <t>Seattle Seahawks</t>
  </si>
  <si>
    <t>Seahawks</t>
  </si>
  <si>
    <t>Superbowl 60</t>
  </si>
  <si>
    <t>NFL</t>
  </si>
  <si>
    <t>None</t>
  </si>
  <si>
    <t>Round 26 Multi</t>
  </si>
  <si>
    <t>Round 27 Multi</t>
  </si>
  <si>
    <t>Round 28 Multi</t>
  </si>
  <si>
    <t>Total Staked</t>
  </si>
  <si>
    <t>Returns</t>
  </si>
  <si>
    <t>Grand Total</t>
  </si>
  <si>
    <t>SUM of Stake</t>
  </si>
  <si>
    <t xml:space="preserve">SUM of  Winnings </t>
  </si>
  <si>
    <t>ROI</t>
  </si>
  <si>
    <t>%W</t>
  </si>
  <si>
    <t>%L</t>
  </si>
  <si>
    <t>Cum Bets</t>
  </si>
  <si>
    <t>Cum W</t>
  </si>
  <si>
    <t>Cum L</t>
  </si>
  <si>
    <t>Cum %W</t>
  </si>
  <si>
    <t>Cum %L</t>
  </si>
  <si>
    <t>Cum Winnings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</si>
</sst>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dd/MM/yyyy"/>
    <numFmt numFmtId="166" formatCode="#,##0.000"/>
    <numFmt numFmtId="167" formatCode="_(&quot;$&quot;* #,##0.00_);_(&quot;$&quot;* \(#,##0.00\);_(&quot;$&quot;* &quot;-&quot;??_);_(@_)"/>
    <numFmt numFmtId="168" formatCode="0.000"/>
    <numFmt numFmtId="169" formatCode="0.0%"/>
  </numFmts>
  <fonts count="9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9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9.0"/>
      <color rgb="FF11A9CC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10" xfId="0" applyFont="1" applyNumberFormat="1"/>
    <xf borderId="0" fillId="0" fontId="6" numFmtId="164" xfId="0" applyAlignment="1" applyFont="1" applyNumberFormat="1">
      <alignment readingOrder="0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7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167" xfId="0" applyFont="1" applyNumberFormat="1"/>
    <xf borderId="0" fillId="0" fontId="4" numFmtId="49" xfId="0" applyAlignment="1" applyFont="1" applyNumberFormat="1">
      <alignment readingOrder="0"/>
    </xf>
    <xf borderId="0" fillId="0" fontId="4" numFmtId="166" xfId="0" applyFont="1" applyNumberFormat="1"/>
    <xf borderId="0" fillId="0" fontId="7" numFmtId="167" xfId="0" applyAlignment="1" applyFont="1" applyNumberForma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readingOrder="0" vertical="bottom"/>
    </xf>
    <xf borderId="0" fillId="0" fontId="4" numFmtId="168" xfId="0" applyAlignment="1" applyFont="1" applyNumberFormat="1">
      <alignment readingOrder="0"/>
    </xf>
    <xf borderId="0" fillId="0" fontId="7" numFmtId="49" xfId="0" applyAlignment="1" applyFont="1" applyNumberFormat="1">
      <alignment vertical="bottom"/>
    </xf>
    <xf borderId="0" fillId="0" fontId="7" numFmtId="0" xfId="0" applyAlignment="1" applyFont="1">
      <alignment shrinkToFit="0" vertical="bottom" wrapText="0"/>
    </xf>
    <xf borderId="0" fillId="0" fontId="4" numFmtId="165" xfId="0" applyFont="1" applyNumberFormat="1"/>
    <xf borderId="0" fillId="0" fontId="4" numFmtId="49" xfId="0" applyFont="1" applyNumberFormat="1"/>
    <xf borderId="0" fillId="0" fontId="4" numFmtId="0" xfId="0" applyFont="1"/>
    <xf borderId="0" fillId="0" fontId="4" numFmtId="169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8" numFmtId="167" xfId="0" applyFont="1" applyNumberFormat="1"/>
    <xf borderId="0" fillId="0" fontId="4" numFmtId="169" xfId="0" applyFont="1" applyNumberFormat="1"/>
    <xf borderId="0" fillId="0" fontId="4" numFmtId="9" xfId="0" applyFont="1" applyNumberFormat="1"/>
  </cellXfs>
  <cellStyles count="1">
    <cellStyle xfId="0" name="Normal" builtinId="0"/>
  </cellStyles>
  <dxfs count="2"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>
        <color rgb="FFFF99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Leaderboard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Leaderboard!$F$2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Leaderboard!$E$3:$E$5</c:f>
            </c:strRef>
          </c:cat>
          <c:val>
            <c:numRef>
              <c:f>Leaderboard!$F$3:$F$5</c:f>
              <c:numCache/>
            </c:numRef>
          </c:val>
        </c:ser>
        <c:ser>
          <c:idx val="1"/>
          <c:order val="1"/>
          <c:tx>
            <c:strRef>
              <c:f>Leaderboard!$H$2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Leaderboard!$E$3:$E$5</c:f>
            </c:strRef>
          </c:cat>
          <c:val>
            <c:numRef>
              <c:f>Leaderboard!$H$3:$H$5</c:f>
              <c:numCache/>
            </c:numRef>
          </c:val>
        </c:ser>
        <c:axId val="897010462"/>
        <c:axId val="177771751"/>
      </c:barChart>
      <c:catAx>
        <c:axId val="897010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71751"/>
      </c:catAx>
      <c:valAx>
        <c:axId val="177771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01046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Leaderboard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Leaderboard!$G$2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Leaderboard!$E$3:$E$5</c:f>
            </c:strRef>
          </c:cat>
          <c:val>
            <c:numRef>
              <c:f>Leaderboard!$G$3:$G$5</c:f>
              <c:numCache/>
            </c:numRef>
          </c:val>
        </c:ser>
        <c:axId val="1984395076"/>
        <c:axId val="862907497"/>
      </c:barChart>
      <c:catAx>
        <c:axId val="1984395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907497"/>
      </c:catAx>
      <c:valAx>
        <c:axId val="862907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39507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Season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Pivot table'!$F$2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Pivot table'!$E$3:$E$4</c:f>
            </c:strRef>
          </c:cat>
          <c:val>
            <c:numRef>
              <c:f>'Copy of Pivot table'!$F$3:$F$4</c:f>
              <c:numCache/>
            </c:numRef>
          </c:val>
        </c:ser>
        <c:ser>
          <c:idx val="1"/>
          <c:order val="1"/>
          <c:tx>
            <c:strRef>
              <c:f>'Copy of Pivot table'!$G$2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'Copy of Pivot table'!$E$3:$E$4</c:f>
            </c:strRef>
          </c:cat>
          <c:val>
            <c:numRef>
              <c:f>'Copy of Pivot table'!$G$3:$G$4</c:f>
              <c:numCache/>
            </c:numRef>
          </c:val>
        </c:ser>
        <c:axId val="1187866352"/>
        <c:axId val="1810254669"/>
      </c:barChart>
      <c:catAx>
        <c:axId val="118786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254669"/>
      </c:catAx>
      <c:valAx>
        <c:axId val="1810254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86635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Leaderboard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'Copy of Pivot table'!$G$2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Pivot table'!$E$3:$E$5</c:f>
            </c:strRef>
          </c:cat>
          <c:val>
            <c:numRef>
              <c:f>'Copy of Pivot table'!$G$3:$G$5</c:f>
              <c:numCache/>
            </c:numRef>
          </c:val>
        </c:ser>
        <c:axId val="1336214086"/>
        <c:axId val="1124240745"/>
      </c:barChart>
      <c:catAx>
        <c:axId val="1336214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240745"/>
      </c:catAx>
      <c:valAx>
        <c:axId val="1124240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21408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by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Bets!$B$1:$B$1009</c:f>
            </c:strRef>
          </c:cat>
          <c:val>
            <c:numRef>
              <c:f>Bets!$P$1:$P$1009</c:f>
              <c:numCache/>
            </c:numRef>
          </c:val>
          <c:smooth val="0"/>
        </c:ser>
        <c:axId val="1438973502"/>
        <c:axId val="1322319775"/>
      </c:lineChart>
      <c:catAx>
        <c:axId val="1438973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319775"/>
      </c:catAx>
      <c:valAx>
        <c:axId val="1322319775"/>
        <c:scaling>
          <c:orientation val="minMax"/>
          <c:max val="38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9735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Winnings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Bets!$B$1:$B$1009</c:f>
            </c:numRef>
          </c:xVal>
          <c:yVal>
            <c:numRef>
              <c:f>Bets!$O$1:$O$1009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131593"/>
        <c:axId val="84881962"/>
      </c:scatterChart>
      <c:valAx>
        <c:axId val="111713159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81962"/>
      </c:valAx>
      <c:valAx>
        <c:axId val="84881962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131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 on Investment</a:t>
            </a:r>
          </a:p>
        </c:rich>
      </c:tx>
      <c:layout>
        <c:manualLayout>
          <c:xMode val="edge"/>
          <c:yMode val="edge"/>
          <c:x val="0.030925925925925926"/>
          <c:y val="0.047005988023952096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Bets!$R$1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9525">
                <a:solidFill>
                  <a:srgbClr val="4285F4">
                    <a:alpha val="10196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Bets!$B$2:$B$1009</c:f>
            </c:strRef>
          </c:cat>
          <c:val>
            <c:numRef>
              <c:f>Bets!$R$2:$R$1009</c:f>
              <c:numCache/>
            </c:numRef>
          </c:val>
          <c:smooth val="1"/>
        </c:ser>
        <c:axId val="1667527513"/>
        <c:axId val="2027697883"/>
      </c:lineChart>
      <c:catAx>
        <c:axId val="1667527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697883"/>
      </c:catAx>
      <c:valAx>
        <c:axId val="2027697883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527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by Index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Bets!$A$1:$A$1009</c:f>
            </c:strRef>
          </c:cat>
          <c:val>
            <c:numRef>
              <c:f>Bets!$P$1:$P$1009</c:f>
              <c:numCache/>
            </c:numRef>
          </c:val>
          <c:smooth val="0"/>
        </c:ser>
        <c:axId val="401480041"/>
        <c:axId val="2041922905"/>
      </c:lineChart>
      <c:catAx>
        <c:axId val="401480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922905"/>
      </c:catAx>
      <c:valAx>
        <c:axId val="2041922905"/>
        <c:scaling>
          <c:orientation val="minMax"/>
          <c:max val="38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480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Rounds!$K$1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Rounds!$A$2:$A$1000</c:f>
            </c:strRef>
          </c:cat>
          <c:val>
            <c:numRef>
              <c:f>Rounds!$K$2:$K$1000</c:f>
              <c:numCache/>
            </c:numRef>
          </c:val>
          <c:smooth val="1"/>
        </c:ser>
        <c:ser>
          <c:idx val="1"/>
          <c:order val="1"/>
          <c:tx>
            <c:strRef>
              <c:f>Rounds!$L$1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Rounds!$A$2:$A$1000</c:f>
            </c:strRef>
          </c:cat>
          <c:val>
            <c:numRef>
              <c:f>Rounds!$L$2:$L$1000</c:f>
              <c:numCache/>
            </c:numRef>
          </c:val>
          <c:smooth val="1"/>
        </c:ser>
        <c:axId val="1163326490"/>
        <c:axId val="869560784"/>
      </c:lineChart>
      <c:catAx>
        <c:axId val="1163326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Round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560784"/>
      </c:catAx>
      <c:valAx>
        <c:axId val="869560784"/>
        <c:scaling>
          <c:orientation val="minMax"/>
          <c:max val="1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+mn-lt"/>
              </a:defRPr>
            </a:pPr>
          </a:p>
        </c:txPr>
        <c:crossAx val="1163326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Stake vs Winnings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Bets!$O$1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4285F4">
                    <a:alpha val="2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Bets!$L$2:$L$1009</c:f>
            </c:numRef>
          </c:xVal>
          <c:yVal>
            <c:numRef>
              <c:f>Bets!$O$2:$O$1009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397525"/>
        <c:axId val="296798429"/>
      </c:scatterChart>
      <c:valAx>
        <c:axId val="1389397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798429"/>
      </c:valAx>
      <c:valAx>
        <c:axId val="296798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397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Odds vs Winnings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Bets!$O$1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4285F4">
                    <a:alpha val="2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Bets!$K$2:$K$1009</c:f>
            </c:numRef>
          </c:xVal>
          <c:yVal>
            <c:numRef>
              <c:f>Bets!$O$2:$O$1009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04908"/>
        <c:axId val="1881115965"/>
      </c:scatterChart>
      <c:valAx>
        <c:axId val="1508204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115965"/>
      </c:valAx>
      <c:valAx>
        <c:axId val="1881115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204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Stake vs Odds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Bets!$K$1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4285F4">
                    <a:alpha val="2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Bets!$L$2:$L$1009</c:f>
            </c:numRef>
          </c:xVal>
          <c:yVal>
            <c:numRef>
              <c:f>Bets!$K$2:$K$1009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915455"/>
        <c:axId val="942644889"/>
      </c:scatterChart>
      <c:valAx>
        <c:axId val="8909154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644889"/>
      </c:valAx>
      <c:valAx>
        <c:axId val="942644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915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Rounds!$K$1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Rounds!$A$2:$A$1000</c:f>
            </c:strRef>
          </c:cat>
          <c:val>
            <c:numRef>
              <c:f>Rounds!$K$2:$K$1000</c:f>
              <c:numCache/>
            </c:numRef>
          </c:val>
          <c:smooth val="0"/>
        </c:ser>
        <c:axId val="1595172895"/>
        <c:axId val="720129256"/>
      </c:lineChart>
      <c:catAx>
        <c:axId val="1595172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129256"/>
      </c:catAx>
      <c:valAx>
        <c:axId val="72012925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172895"/>
      </c:valAx>
      <c:lineChart>
        <c:varyColors val="0"/>
        <c:ser>
          <c:idx val="1"/>
          <c:order val="1"/>
          <c:tx>
            <c:strRef>
              <c:f>Rounds!$L$1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Rounds!$A$2:$A$1000</c:f>
            </c:strRef>
          </c:cat>
          <c:val>
            <c:numRef>
              <c:f>Rounds!$L$2:$L$1000</c:f>
              <c:numCache/>
            </c:numRef>
          </c:val>
          <c:smooth val="0"/>
        </c:ser>
        <c:axId val="110263004"/>
        <c:axId val="228780767"/>
      </c:lineChart>
      <c:catAx>
        <c:axId val="1102630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780767"/>
      </c:catAx>
      <c:valAx>
        <c:axId val="228780767"/>
        <c:scaling>
          <c:orientation val="minMax"/>
          <c:max val="0.8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630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Rounds!$E$1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Rounds!$A$2:$A$27</c:f>
            </c:strRef>
          </c:cat>
          <c:val>
            <c:numRef>
              <c:f>Rounds!$E$2:$E$27</c:f>
              <c:numCache/>
            </c:numRef>
          </c:val>
        </c:ser>
        <c:axId val="1156677374"/>
        <c:axId val="2082488146"/>
      </c:barChart>
      <c:catAx>
        <c:axId val="1156677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488146"/>
      </c:catAx>
      <c:valAx>
        <c:axId val="2082488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677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Chart7.png"/><Relationship Id="rId4" Type="http://schemas.openxmlformats.org/officeDocument/2006/relationships/chart" Target="../charts/chart7.xml"/><Relationship Id="rId9" Type="http://schemas.openxmlformats.org/officeDocument/2006/relationships/chart" Target="../charts/chart9.xml"/><Relationship Id="rId5" Type="http://schemas.openxmlformats.org/officeDocument/2006/relationships/chart" Target="../charts/chart8.xml"/><Relationship Id="rId6" Type="http://schemas.openxmlformats.org/officeDocument/2006/relationships/image" Target="../media/Chart10.png"/><Relationship Id="rId7" Type="http://schemas.openxmlformats.org/officeDocument/2006/relationships/image" Target="../media/Chart11.png"/><Relationship Id="rId8" Type="http://schemas.openxmlformats.org/officeDocument/2006/relationships/image" Target="../media/Chart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4.png"/><Relationship Id="rId2" Type="http://schemas.openxmlformats.org/officeDocument/2006/relationships/image" Target="../media/Chart15.png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4429125" cy="2743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22</xdr:row>
      <xdr:rowOff>0</xdr:rowOff>
    </xdr:from>
    <xdr:ext cx="4429125" cy="2743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5</xdr:row>
      <xdr:rowOff>47625</xdr:rowOff>
    </xdr:from>
    <xdr:ext cx="3714750" cy="2305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38100</xdr:rowOff>
    </xdr:from>
    <xdr:ext cx="3790950" cy="2352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752475</xdr:colOff>
      <xdr:row>0</xdr:row>
      <xdr:rowOff>76200</xdr:rowOff>
    </xdr:from>
    <xdr:ext cx="5143500" cy="3181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228600</xdr:colOff>
      <xdr:row>34</xdr:row>
      <xdr:rowOff>0</xdr:rowOff>
    </xdr:from>
    <xdr:ext cx="5143500" cy="3181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200025</xdr:colOff>
      <xdr:row>16</xdr:row>
      <xdr:rowOff>200025</xdr:rowOff>
    </xdr:from>
    <xdr:ext cx="5143500" cy="3181350"/>
    <xdr:pic>
      <xdr:nvPicPr>
        <xdr:cNvPr id="154965368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0</xdr:row>
      <xdr:rowOff>76200</xdr:rowOff>
    </xdr:from>
    <xdr:ext cx="5143500" cy="31813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228600</xdr:colOff>
      <xdr:row>0</xdr:row>
      <xdr:rowOff>76200</xdr:rowOff>
    </xdr:from>
    <xdr:ext cx="5143500" cy="31813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314325</xdr:colOff>
      <xdr:row>17</xdr:row>
      <xdr:rowOff>38100</xdr:rowOff>
    </xdr:from>
    <xdr:ext cx="5143500" cy="3181350"/>
    <xdr:pic>
      <xdr:nvPicPr>
        <xdr:cNvPr id="967948031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17</xdr:row>
      <xdr:rowOff>57150</xdr:rowOff>
    </xdr:from>
    <xdr:ext cx="5143500" cy="3181350"/>
    <xdr:pic>
      <xdr:nvPicPr>
        <xdr:cNvPr id="1560998733" name="Chart11" title="Marke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34</xdr:row>
      <xdr:rowOff>38100</xdr:rowOff>
    </xdr:from>
    <xdr:ext cx="5143500" cy="3143250"/>
    <xdr:pic>
      <xdr:nvPicPr>
        <xdr:cNvPr id="2116393742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34</xdr:row>
      <xdr:rowOff>0</xdr:rowOff>
    </xdr:from>
    <xdr:ext cx="5143500" cy="31813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143500" cy="3181350"/>
    <xdr:pic>
      <xdr:nvPicPr>
        <xdr:cNvPr id="1929031992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857250</xdr:colOff>
      <xdr:row>1</xdr:row>
      <xdr:rowOff>38100</xdr:rowOff>
    </xdr:from>
    <xdr:ext cx="5143500" cy="3181350"/>
    <xdr:pic>
      <xdr:nvPicPr>
        <xdr:cNvPr id="219301359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5143500" cy="31813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857250</xdr:colOff>
      <xdr:row>18</xdr:row>
      <xdr:rowOff>0</xdr:rowOff>
    </xdr:from>
    <xdr:ext cx="5143500" cy="31813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523875</xdr:colOff>
      <xdr:row>18</xdr:row>
      <xdr:rowOff>0</xdr:rowOff>
    </xdr:from>
    <xdr:ext cx="5143500" cy="31813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561975</xdr:colOff>
      <xdr:row>1</xdr:row>
      <xdr:rowOff>133350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561975</xdr:colOff>
      <xdr:row>20</xdr:row>
      <xdr:rowOff>76200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38"/>
    <col customWidth="1" min="3" max="3" width="10.25"/>
  </cols>
  <sheetData>
    <row r="1">
      <c r="B1" s="1"/>
    </row>
    <row r="2">
      <c r="B2" s="2" t="s">
        <v>0</v>
      </c>
    </row>
    <row r="4">
      <c r="B4" s="3" t="str">
        <f>"We are currently " &amp; IF(C8-C7&gt;0, "winning", IF(C8-C7&lt;0, "losing", "tied by")) &amp; " $" &amp; TEXT(ROUND(ABS(C7-C8), 2), "0.00")</f>
        <v>We are currently losing $59.19</v>
      </c>
      <c r="C4" s="4"/>
    </row>
    <row r="5">
      <c r="B5" s="5" t="s">
        <v>1</v>
      </c>
      <c r="C5" s="6">
        <f t="array" ref="C5">INDEX(Rounds!E:E,COUNTA(Rounds!E:E))</f>
        <v>-0.65</v>
      </c>
    </row>
    <row r="6">
      <c r="B6" s="7"/>
      <c r="C6" s="4"/>
    </row>
    <row r="7">
      <c r="B7" s="7" t="s">
        <v>2</v>
      </c>
      <c r="C7" s="4">
        <v>375.01</v>
      </c>
    </row>
    <row r="8">
      <c r="B8" s="7" t="s">
        <v>3</v>
      </c>
      <c r="C8" s="8">
        <f t="array" ref="C8">index(Bets!P2:P1006, COUNT(Bets!P2:P1006))</f>
        <v>315.82</v>
      </c>
    </row>
    <row r="9">
      <c r="B9" s="7" t="s">
        <v>4</v>
      </c>
      <c r="C9" s="9">
        <f t="array" ref="C9">index(Bets!R3:R1006, COUNT(Bets!R3:R1006))</f>
        <v>-0.1578133333</v>
      </c>
    </row>
    <row r="10">
      <c r="B10" s="7" t="s">
        <v>5</v>
      </c>
      <c r="C10" s="10">
        <f>((C7-C8- ROUND(ABS(sum(Bets!O:O)), 2)))+ 1.25</f>
        <v>0</v>
      </c>
    </row>
    <row r="11">
      <c r="B11" s="7" t="s">
        <v>6</v>
      </c>
      <c r="C11" s="11">
        <f>COUNT(Bets!A:A)</f>
        <v>440</v>
      </c>
    </row>
    <row r="12">
      <c r="B12" s="7" t="s">
        <v>7</v>
      </c>
      <c r="C12" s="8">
        <f>AVERAGE(Bets!L:L)</f>
        <v>2.801409091</v>
      </c>
    </row>
    <row r="13">
      <c r="B13" s="7" t="s">
        <v>8</v>
      </c>
      <c r="C13" s="8">
        <f>AVERAGE(Bets!K:K)</f>
        <v>2.013688386</v>
      </c>
    </row>
    <row r="14">
      <c r="B14" s="7" t="s">
        <v>9</v>
      </c>
      <c r="C14" s="8">
        <f>AVERAGE(Bets!O:O)</f>
        <v>-0.1373636364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9.0"/>
    <col customWidth="1" min="3" max="3" width="8.75"/>
    <col customWidth="1" min="4" max="4" width="10.75"/>
    <col customWidth="1" min="5" max="5" width="0.38"/>
    <col customWidth="1" min="6" max="6" width="11.63"/>
    <col customWidth="1" min="7" max="7" width="0.38"/>
    <col customWidth="1" min="8" max="8" width="12.75"/>
    <col customWidth="1" min="9" max="9" width="10.38"/>
    <col customWidth="1" min="10" max="11" width="6.75"/>
    <col customWidth="1" min="12" max="12" width="5.5"/>
    <col customWidth="1" min="13" max="13" width="5.88"/>
    <col customWidth="1" min="14" max="14" width="7.38"/>
    <col customWidth="1" min="15" max="15" width="9.0"/>
    <col customWidth="1" min="16" max="16" width="13.75"/>
    <col customWidth="1" min="17" max="18" width="11.0"/>
    <col customWidth="1" min="19" max="19" width="8.13"/>
    <col customWidth="1" min="20" max="20" width="6.38"/>
    <col customWidth="1" min="21" max="21" width="7.5"/>
    <col customWidth="1" min="22" max="22" width="5.38"/>
  </cols>
  <sheetData>
    <row r="1">
      <c r="A1" s="12" t="s">
        <v>10</v>
      </c>
      <c r="B1" s="13" t="s">
        <v>11</v>
      </c>
      <c r="C1" s="14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18</v>
      </c>
      <c r="J1" s="15" t="s">
        <v>19</v>
      </c>
      <c r="K1" s="15" t="s">
        <v>20</v>
      </c>
      <c r="L1" s="16" t="s">
        <v>21</v>
      </c>
      <c r="M1" s="12" t="s">
        <v>22</v>
      </c>
      <c r="N1" s="17" t="s">
        <v>23</v>
      </c>
      <c r="O1" s="17" t="s">
        <v>24</v>
      </c>
      <c r="P1" s="17" t="s">
        <v>3</v>
      </c>
      <c r="Q1" s="17" t="s">
        <v>25</v>
      </c>
      <c r="R1" s="18" t="s">
        <v>26</v>
      </c>
      <c r="S1" s="19" t="s">
        <v>27</v>
      </c>
      <c r="T1" s="19" t="s">
        <v>28</v>
      </c>
      <c r="U1" s="12" t="s">
        <v>29</v>
      </c>
      <c r="V1" s="12" t="s">
        <v>30</v>
      </c>
    </row>
    <row r="2">
      <c r="A2" s="7">
        <v>1.0</v>
      </c>
      <c r="B2" s="20">
        <v>45521.0</v>
      </c>
      <c r="C2" s="7">
        <v>1.0</v>
      </c>
      <c r="D2" s="7" t="s">
        <v>31</v>
      </c>
      <c r="E2" s="7">
        <v>1.0</v>
      </c>
      <c r="F2" s="7" t="s">
        <v>32</v>
      </c>
      <c r="G2" s="7">
        <v>0.0</v>
      </c>
      <c r="H2" s="11" t="s">
        <v>33</v>
      </c>
      <c r="I2" s="7" t="s">
        <v>31</v>
      </c>
      <c r="J2" s="21" t="s">
        <v>31</v>
      </c>
      <c r="K2" s="21">
        <v>1.57</v>
      </c>
      <c r="L2" s="4">
        <v>2.0</v>
      </c>
      <c r="M2" s="7" t="s">
        <v>34</v>
      </c>
      <c r="N2" s="22">
        <v>3.15</v>
      </c>
      <c r="O2" s="22">
        <v>1.15</v>
      </c>
      <c r="P2" s="23">
        <f>300.01-L2+N2</f>
        <v>301.16</v>
      </c>
      <c r="Q2" s="23">
        <f t="shared" ref="Q2:Q322" si="1">P2-300.01</f>
        <v>1.15</v>
      </c>
      <c r="R2" s="9">
        <f t="shared" ref="R2:R322" si="2">(P2-300)/300</f>
        <v>0.003866666667</v>
      </c>
      <c r="S2" s="24" t="s">
        <v>35</v>
      </c>
      <c r="T2" s="24" t="s">
        <v>36</v>
      </c>
      <c r="U2" s="11" t="str">
        <f t="shared" ref="U2:U441" si="3">IF(B2&lt;&gt;"", TEXT(B2, "dddd"), "")</f>
        <v>Saturday</v>
      </c>
      <c r="W2" s="11" t="str">
        <f t="shared" ref="W2:W126" si="4">TRIM(CLEAN(H2))</f>
        <v>Full Time Result</v>
      </c>
    </row>
    <row r="3">
      <c r="A3" s="7">
        <v>2.0</v>
      </c>
      <c r="B3" s="20">
        <v>45522.0</v>
      </c>
      <c r="C3" s="7">
        <v>1.0</v>
      </c>
      <c r="D3" s="7" t="s">
        <v>37</v>
      </c>
      <c r="E3" s="7">
        <v>2.0</v>
      </c>
      <c r="F3" s="7" t="s">
        <v>38</v>
      </c>
      <c r="G3" s="7">
        <v>0.0</v>
      </c>
      <c r="H3" s="11" t="s">
        <v>39</v>
      </c>
      <c r="I3" s="7" t="s">
        <v>40</v>
      </c>
      <c r="J3" s="21" t="s">
        <v>37</v>
      </c>
      <c r="K3" s="21">
        <v>1.625</v>
      </c>
      <c r="L3" s="4">
        <v>2.0</v>
      </c>
      <c r="M3" s="7" t="s">
        <v>34</v>
      </c>
      <c r="N3" s="22">
        <v>3.25</v>
      </c>
      <c r="O3" s="22">
        <v>1.25</v>
      </c>
      <c r="P3" s="23">
        <f t="shared" ref="P3:P322" si="5">P2-L3+N3</f>
        <v>302.41</v>
      </c>
      <c r="Q3" s="23">
        <f t="shared" si="1"/>
        <v>2.4</v>
      </c>
      <c r="R3" s="9">
        <f t="shared" si="2"/>
        <v>0.008033333333</v>
      </c>
      <c r="S3" s="24" t="s">
        <v>35</v>
      </c>
      <c r="T3" s="24" t="s">
        <v>36</v>
      </c>
      <c r="U3" s="11" t="str">
        <f t="shared" si="3"/>
        <v>Sunday</v>
      </c>
      <c r="W3" s="11" t="str">
        <f t="shared" si="4"/>
        <v>Asian Handicap</v>
      </c>
    </row>
    <row r="4">
      <c r="A4" s="7">
        <v>3.0</v>
      </c>
      <c r="B4" s="20">
        <v>45522.0</v>
      </c>
      <c r="C4" s="7">
        <v>1.0</v>
      </c>
      <c r="D4" s="7" t="s">
        <v>41</v>
      </c>
      <c r="E4" s="7">
        <v>1.0</v>
      </c>
      <c r="F4" s="7" t="s">
        <v>42</v>
      </c>
      <c r="G4" s="7">
        <v>2.0</v>
      </c>
      <c r="H4" s="11" t="s">
        <v>33</v>
      </c>
      <c r="I4" s="7" t="s">
        <v>43</v>
      </c>
      <c r="J4" s="21" t="s">
        <v>43</v>
      </c>
      <c r="K4" s="21">
        <v>3.5</v>
      </c>
      <c r="L4" s="4">
        <v>2.0</v>
      </c>
      <c r="M4" s="7" t="s">
        <v>44</v>
      </c>
      <c r="N4" s="22">
        <v>0.0</v>
      </c>
      <c r="O4" s="22">
        <f t="shared" ref="O4:O330" si="6">N4-L4</f>
        <v>-2</v>
      </c>
      <c r="P4" s="23">
        <f t="shared" si="5"/>
        <v>300.41</v>
      </c>
      <c r="Q4" s="23">
        <f t="shared" si="1"/>
        <v>0.4</v>
      </c>
      <c r="R4" s="9">
        <f t="shared" si="2"/>
        <v>0.001366666667</v>
      </c>
      <c r="S4" s="24" t="s">
        <v>35</v>
      </c>
      <c r="T4" s="24" t="s">
        <v>36</v>
      </c>
      <c r="U4" s="11" t="str">
        <f t="shared" si="3"/>
        <v>Sunday</v>
      </c>
      <c r="W4" s="11" t="str">
        <f t="shared" si="4"/>
        <v>Full Time Result</v>
      </c>
    </row>
    <row r="5">
      <c r="A5" s="7">
        <v>4.0</v>
      </c>
      <c r="B5" s="20">
        <v>45523.0</v>
      </c>
      <c r="C5" s="7">
        <v>1.0</v>
      </c>
      <c r="D5" s="7" t="s">
        <v>45</v>
      </c>
      <c r="E5" s="7">
        <v>2.0</v>
      </c>
      <c r="F5" s="7" t="s">
        <v>46</v>
      </c>
      <c r="G5" s="7">
        <v>1.0</v>
      </c>
      <c r="H5" s="11" t="s">
        <v>47</v>
      </c>
      <c r="I5" s="7" t="s">
        <v>48</v>
      </c>
      <c r="J5" s="21" t="s">
        <v>46</v>
      </c>
      <c r="K5" s="21">
        <v>1.57</v>
      </c>
      <c r="L5" s="4">
        <v>2.0</v>
      </c>
      <c r="M5" s="7" t="s">
        <v>44</v>
      </c>
      <c r="N5" s="22">
        <v>0.0</v>
      </c>
      <c r="O5" s="22">
        <f t="shared" si="6"/>
        <v>-2</v>
      </c>
      <c r="P5" s="23">
        <f t="shared" si="5"/>
        <v>298.41</v>
      </c>
      <c r="Q5" s="23">
        <f t="shared" si="1"/>
        <v>-1.6</v>
      </c>
      <c r="R5" s="9">
        <f t="shared" si="2"/>
        <v>-0.0053</v>
      </c>
      <c r="S5" s="24" t="s">
        <v>35</v>
      </c>
      <c r="T5" s="24" t="s">
        <v>36</v>
      </c>
      <c r="U5" s="11" t="str">
        <f t="shared" si="3"/>
        <v>Monday</v>
      </c>
      <c r="W5" s="11" t="str">
        <f t="shared" si="4"/>
        <v>Double Chance</v>
      </c>
    </row>
    <row r="6">
      <c r="A6" s="7">
        <v>5.0</v>
      </c>
      <c r="B6" s="20">
        <v>45524.0</v>
      </c>
      <c r="C6" s="7">
        <v>1.0</v>
      </c>
      <c r="D6" s="7" t="s">
        <v>49</v>
      </c>
      <c r="E6" s="7">
        <v>1.0</v>
      </c>
      <c r="F6" s="7" t="s">
        <v>50</v>
      </c>
      <c r="G6" s="7">
        <v>1.0</v>
      </c>
      <c r="H6" s="11" t="s">
        <v>33</v>
      </c>
      <c r="I6" s="7" t="s">
        <v>50</v>
      </c>
      <c r="J6" s="21" t="s">
        <v>50</v>
      </c>
      <c r="K6" s="21">
        <v>1.6</v>
      </c>
      <c r="L6" s="4">
        <v>2.0</v>
      </c>
      <c r="M6" s="7" t="s">
        <v>44</v>
      </c>
      <c r="N6" s="22">
        <v>0.0</v>
      </c>
      <c r="O6" s="22">
        <f t="shared" si="6"/>
        <v>-2</v>
      </c>
      <c r="P6" s="23">
        <f t="shared" si="5"/>
        <v>296.41</v>
      </c>
      <c r="Q6" s="23">
        <f t="shared" si="1"/>
        <v>-3.6</v>
      </c>
      <c r="R6" s="9">
        <f t="shared" si="2"/>
        <v>-0.01196666667</v>
      </c>
      <c r="S6" s="24" t="s">
        <v>35</v>
      </c>
      <c r="T6" s="24" t="s">
        <v>36</v>
      </c>
      <c r="U6" s="11" t="str">
        <f t="shared" si="3"/>
        <v>Tuesday</v>
      </c>
      <c r="W6" s="11" t="str">
        <f t="shared" si="4"/>
        <v>Full Time Result</v>
      </c>
    </row>
    <row r="7">
      <c r="A7" s="7">
        <v>6.0</v>
      </c>
      <c r="B7" s="20">
        <v>45529.0</v>
      </c>
      <c r="C7" s="7">
        <v>2.0</v>
      </c>
      <c r="D7" s="7" t="s">
        <v>51</v>
      </c>
      <c r="E7" s="7">
        <v>2.0</v>
      </c>
      <c r="F7" s="7" t="s">
        <v>31</v>
      </c>
      <c r="G7" s="7">
        <v>1.0</v>
      </c>
      <c r="H7" s="11" t="s">
        <v>52</v>
      </c>
      <c r="I7" s="7" t="s">
        <v>31</v>
      </c>
      <c r="J7" s="21" t="s">
        <v>31</v>
      </c>
      <c r="K7" s="21">
        <v>1.83</v>
      </c>
      <c r="L7" s="4">
        <v>1.5</v>
      </c>
      <c r="M7" s="7" t="s">
        <v>44</v>
      </c>
      <c r="N7" s="22">
        <v>0.0</v>
      </c>
      <c r="O7" s="22">
        <f t="shared" si="6"/>
        <v>-1.5</v>
      </c>
      <c r="P7" s="23">
        <f t="shared" si="5"/>
        <v>294.91</v>
      </c>
      <c r="Q7" s="23">
        <f t="shared" si="1"/>
        <v>-5.1</v>
      </c>
      <c r="R7" s="9">
        <f t="shared" si="2"/>
        <v>-0.01696666667</v>
      </c>
      <c r="S7" s="24" t="s">
        <v>35</v>
      </c>
      <c r="T7" s="24" t="s">
        <v>36</v>
      </c>
      <c r="U7" s="11" t="str">
        <f t="shared" si="3"/>
        <v>Sunday</v>
      </c>
      <c r="W7" s="11" t="str">
        <f t="shared" si="4"/>
        <v>Draw No Bet</v>
      </c>
    </row>
    <row r="8">
      <c r="A8" s="7">
        <v>7.0</v>
      </c>
      <c r="B8" s="20">
        <v>45529.0</v>
      </c>
      <c r="C8" s="7">
        <v>2.0</v>
      </c>
      <c r="D8" s="7" t="s">
        <v>46</v>
      </c>
      <c r="E8" s="7">
        <v>0.0</v>
      </c>
      <c r="F8" s="7" t="s">
        <v>41</v>
      </c>
      <c r="G8" s="7">
        <v>2.0</v>
      </c>
      <c r="H8" s="11" t="s">
        <v>52</v>
      </c>
      <c r="I8" s="7" t="s">
        <v>46</v>
      </c>
      <c r="J8" s="21" t="s">
        <v>46</v>
      </c>
      <c r="K8" s="21">
        <v>1.53</v>
      </c>
      <c r="L8" s="4">
        <v>0.5</v>
      </c>
      <c r="M8" s="7" t="s">
        <v>44</v>
      </c>
      <c r="N8" s="22">
        <v>0.0</v>
      </c>
      <c r="O8" s="22">
        <f t="shared" si="6"/>
        <v>-0.5</v>
      </c>
      <c r="P8" s="23">
        <f t="shared" si="5"/>
        <v>294.41</v>
      </c>
      <c r="Q8" s="23">
        <f t="shared" si="1"/>
        <v>-5.6</v>
      </c>
      <c r="R8" s="9">
        <f t="shared" si="2"/>
        <v>-0.01863333333</v>
      </c>
      <c r="S8" s="24" t="s">
        <v>35</v>
      </c>
      <c r="T8" s="24" t="s">
        <v>36</v>
      </c>
      <c r="U8" s="11" t="str">
        <f t="shared" si="3"/>
        <v>Sunday</v>
      </c>
      <c r="W8" s="11" t="str">
        <f t="shared" si="4"/>
        <v>Draw No Bet</v>
      </c>
    </row>
    <row r="9">
      <c r="A9" s="7">
        <v>8.0</v>
      </c>
      <c r="B9" s="20">
        <v>45529.0</v>
      </c>
      <c r="C9" s="7">
        <v>2.0</v>
      </c>
      <c r="D9" s="7" t="s">
        <v>32</v>
      </c>
      <c r="E9" s="7">
        <v>2.0</v>
      </c>
      <c r="F9" s="7" t="s">
        <v>49</v>
      </c>
      <c r="G9" s="7">
        <v>1.0</v>
      </c>
      <c r="H9" s="11" t="s">
        <v>52</v>
      </c>
      <c r="I9" s="7" t="s">
        <v>32</v>
      </c>
      <c r="J9" s="21" t="s">
        <v>32</v>
      </c>
      <c r="K9" s="21">
        <v>1.33</v>
      </c>
      <c r="L9" s="4">
        <v>1.5</v>
      </c>
      <c r="M9" s="7" t="s">
        <v>34</v>
      </c>
      <c r="N9" s="22">
        <v>2.0</v>
      </c>
      <c r="O9" s="22">
        <f t="shared" si="6"/>
        <v>0.5</v>
      </c>
      <c r="P9" s="23">
        <f t="shared" si="5"/>
        <v>294.91</v>
      </c>
      <c r="Q9" s="23">
        <f t="shared" si="1"/>
        <v>-5.1</v>
      </c>
      <c r="R9" s="9">
        <f t="shared" si="2"/>
        <v>-0.01696666667</v>
      </c>
      <c r="S9" s="24" t="s">
        <v>35</v>
      </c>
      <c r="T9" s="24" t="s">
        <v>36</v>
      </c>
      <c r="U9" s="11" t="str">
        <f t="shared" si="3"/>
        <v>Sunday</v>
      </c>
      <c r="W9" s="11" t="str">
        <f t="shared" si="4"/>
        <v>Draw No Bet</v>
      </c>
    </row>
    <row r="10">
      <c r="A10" s="7">
        <v>9.0</v>
      </c>
      <c r="B10" s="20">
        <v>45529.0</v>
      </c>
      <c r="C10" s="7">
        <v>2.0</v>
      </c>
      <c r="D10" s="7" t="s">
        <v>53</v>
      </c>
      <c r="E10" s="7">
        <v>4.0</v>
      </c>
      <c r="F10" s="7" t="s">
        <v>54</v>
      </c>
      <c r="G10" s="7">
        <v>1.0</v>
      </c>
      <c r="H10" s="11" t="s">
        <v>55</v>
      </c>
      <c r="I10" s="7" t="s">
        <v>56</v>
      </c>
      <c r="J10" s="21" t="s">
        <v>53</v>
      </c>
      <c r="K10" s="21">
        <v>1.3</v>
      </c>
      <c r="L10" s="4">
        <v>3.0</v>
      </c>
      <c r="M10" s="7" t="s">
        <v>34</v>
      </c>
      <c r="N10" s="22">
        <v>3.9</v>
      </c>
      <c r="O10" s="22">
        <f t="shared" si="6"/>
        <v>0.9</v>
      </c>
      <c r="P10" s="23">
        <f t="shared" si="5"/>
        <v>295.81</v>
      </c>
      <c r="Q10" s="23">
        <f t="shared" si="1"/>
        <v>-4.2</v>
      </c>
      <c r="R10" s="9">
        <f t="shared" si="2"/>
        <v>-0.01396666667</v>
      </c>
      <c r="S10" s="24" t="s">
        <v>35</v>
      </c>
      <c r="T10" s="24" t="s">
        <v>36</v>
      </c>
      <c r="U10" s="11" t="str">
        <f t="shared" si="3"/>
        <v>Sunday</v>
      </c>
      <c r="W10" s="11" t="str">
        <f t="shared" si="4"/>
        <v>Handicap</v>
      </c>
    </row>
    <row r="11">
      <c r="A11" s="7">
        <v>10.0</v>
      </c>
      <c r="B11" s="20">
        <v>45529.0</v>
      </c>
      <c r="C11" s="7">
        <v>2.0</v>
      </c>
      <c r="D11" s="7" t="s">
        <v>50</v>
      </c>
      <c r="E11" s="7">
        <v>4.0</v>
      </c>
      <c r="F11" s="7" t="s">
        <v>57</v>
      </c>
      <c r="G11" s="7">
        <v>0.0</v>
      </c>
      <c r="H11" s="11" t="s">
        <v>33</v>
      </c>
      <c r="I11" s="7" t="s">
        <v>50</v>
      </c>
      <c r="J11" s="21" t="s">
        <v>50</v>
      </c>
      <c r="K11" s="21">
        <v>1.45</v>
      </c>
      <c r="L11" s="4">
        <v>0.5</v>
      </c>
      <c r="M11" s="7" t="s">
        <v>34</v>
      </c>
      <c r="N11" s="22">
        <v>0.73</v>
      </c>
      <c r="O11" s="22">
        <f t="shared" si="6"/>
        <v>0.23</v>
      </c>
      <c r="P11" s="23">
        <f t="shared" si="5"/>
        <v>296.04</v>
      </c>
      <c r="Q11" s="23">
        <f t="shared" si="1"/>
        <v>-3.97</v>
      </c>
      <c r="R11" s="9">
        <f t="shared" si="2"/>
        <v>-0.0132</v>
      </c>
      <c r="S11" s="24" t="s">
        <v>35</v>
      </c>
      <c r="T11" s="24" t="s">
        <v>36</v>
      </c>
      <c r="U11" s="11" t="str">
        <f t="shared" si="3"/>
        <v>Sunday</v>
      </c>
      <c r="W11" s="11" t="str">
        <f t="shared" si="4"/>
        <v>Full Time Result</v>
      </c>
    </row>
    <row r="12">
      <c r="A12" s="7">
        <v>11.0</v>
      </c>
      <c r="B12" s="20">
        <v>45530.0</v>
      </c>
      <c r="C12" s="7">
        <v>2.0</v>
      </c>
      <c r="D12" s="7" t="s">
        <v>58</v>
      </c>
      <c r="E12" s="7">
        <v>1.0</v>
      </c>
      <c r="F12" s="7" t="s">
        <v>59</v>
      </c>
      <c r="G12" s="7">
        <v>1.0</v>
      </c>
      <c r="H12" s="11" t="s">
        <v>55</v>
      </c>
      <c r="I12" s="7" t="s">
        <v>60</v>
      </c>
      <c r="J12" s="21" t="s">
        <v>58</v>
      </c>
      <c r="K12" s="21">
        <v>1.22</v>
      </c>
      <c r="L12" s="4">
        <v>1.5</v>
      </c>
      <c r="M12" s="7" t="s">
        <v>34</v>
      </c>
      <c r="N12" s="22">
        <v>1.84</v>
      </c>
      <c r="O12" s="22">
        <f t="shared" si="6"/>
        <v>0.34</v>
      </c>
      <c r="P12" s="23">
        <f t="shared" si="5"/>
        <v>296.38</v>
      </c>
      <c r="Q12" s="23">
        <f t="shared" si="1"/>
        <v>-3.63</v>
      </c>
      <c r="R12" s="9">
        <f t="shared" si="2"/>
        <v>-0.01206666667</v>
      </c>
      <c r="S12" s="24" t="s">
        <v>35</v>
      </c>
      <c r="T12" s="24" t="s">
        <v>36</v>
      </c>
      <c r="U12" s="11" t="str">
        <f t="shared" si="3"/>
        <v>Monday</v>
      </c>
      <c r="W12" s="11" t="str">
        <f t="shared" si="4"/>
        <v>Handicap</v>
      </c>
    </row>
    <row r="13">
      <c r="A13" s="7">
        <v>12.0</v>
      </c>
      <c r="B13" s="20">
        <v>45530.0</v>
      </c>
      <c r="C13" s="7">
        <v>2.0</v>
      </c>
      <c r="D13" s="7" t="s">
        <v>61</v>
      </c>
      <c r="E13" s="7">
        <v>2.0</v>
      </c>
      <c r="F13" s="7" t="s">
        <v>45</v>
      </c>
      <c r="G13" s="7">
        <v>0.0</v>
      </c>
      <c r="H13" s="11" t="s">
        <v>55</v>
      </c>
      <c r="I13" s="7" t="s">
        <v>62</v>
      </c>
      <c r="J13" s="21" t="s">
        <v>61</v>
      </c>
      <c r="K13" s="21">
        <v>1.66</v>
      </c>
      <c r="L13" s="4">
        <v>1.5</v>
      </c>
      <c r="M13" s="7" t="s">
        <v>34</v>
      </c>
      <c r="N13" s="22">
        <v>2.5</v>
      </c>
      <c r="O13" s="22">
        <f t="shared" si="6"/>
        <v>1</v>
      </c>
      <c r="P13" s="23">
        <f t="shared" si="5"/>
        <v>297.38</v>
      </c>
      <c r="Q13" s="23">
        <f t="shared" si="1"/>
        <v>-2.63</v>
      </c>
      <c r="R13" s="9">
        <f t="shared" si="2"/>
        <v>-0.008733333333</v>
      </c>
      <c r="S13" s="24" t="s">
        <v>35</v>
      </c>
      <c r="T13" s="24" t="s">
        <v>36</v>
      </c>
      <c r="U13" s="11" t="str">
        <f t="shared" si="3"/>
        <v>Monday</v>
      </c>
      <c r="W13" s="11" t="str">
        <f t="shared" si="4"/>
        <v>Handicap</v>
      </c>
    </row>
    <row r="14">
      <c r="A14" s="7">
        <v>13.0</v>
      </c>
      <c r="B14" s="20">
        <v>45535.0</v>
      </c>
      <c r="C14" s="7">
        <v>3.0</v>
      </c>
      <c r="D14" s="7" t="s">
        <v>37</v>
      </c>
      <c r="E14" s="7">
        <v>1.0</v>
      </c>
      <c r="F14" s="7" t="s">
        <v>51</v>
      </c>
      <c r="G14" s="7">
        <v>1.0</v>
      </c>
      <c r="H14" s="11" t="s">
        <v>33</v>
      </c>
      <c r="I14" s="7" t="s">
        <v>37</v>
      </c>
      <c r="J14" s="21" t="s">
        <v>37</v>
      </c>
      <c r="K14" s="21">
        <v>1.33</v>
      </c>
      <c r="L14" s="4">
        <v>2.0</v>
      </c>
      <c r="M14" s="7" t="s">
        <v>44</v>
      </c>
      <c r="N14" s="22">
        <v>0.0</v>
      </c>
      <c r="O14" s="22">
        <f t="shared" si="6"/>
        <v>-2</v>
      </c>
      <c r="P14" s="23">
        <f t="shared" si="5"/>
        <v>295.38</v>
      </c>
      <c r="Q14" s="23">
        <f t="shared" si="1"/>
        <v>-4.63</v>
      </c>
      <c r="R14" s="9">
        <f t="shared" si="2"/>
        <v>-0.0154</v>
      </c>
      <c r="S14" s="24" t="s">
        <v>35</v>
      </c>
      <c r="T14" s="24" t="s">
        <v>36</v>
      </c>
      <c r="U14" s="11" t="str">
        <f t="shared" si="3"/>
        <v>Saturday</v>
      </c>
      <c r="V14" s="7" t="s">
        <v>63</v>
      </c>
      <c r="W14" s="11" t="str">
        <f t="shared" si="4"/>
        <v>Full Time Result</v>
      </c>
      <c r="X14" s="7" t="s">
        <v>64</v>
      </c>
    </row>
    <row r="15">
      <c r="A15" s="7">
        <v>14.0</v>
      </c>
      <c r="B15" s="20">
        <v>45535.0</v>
      </c>
      <c r="C15" s="7">
        <v>3.0</v>
      </c>
      <c r="D15" s="7" t="s">
        <v>37</v>
      </c>
      <c r="E15" s="7">
        <v>1.0</v>
      </c>
      <c r="F15" s="7" t="s">
        <v>51</v>
      </c>
      <c r="G15" s="7">
        <v>1.0</v>
      </c>
      <c r="H15" s="11" t="s">
        <v>55</v>
      </c>
      <c r="I15" s="7" t="s">
        <v>65</v>
      </c>
      <c r="J15" s="21" t="s">
        <v>51</v>
      </c>
      <c r="K15" s="21">
        <v>1.33</v>
      </c>
      <c r="L15" s="4">
        <v>2.0</v>
      </c>
      <c r="M15" s="7" t="s">
        <v>34</v>
      </c>
      <c r="N15" s="22">
        <v>2.67</v>
      </c>
      <c r="O15" s="22">
        <f t="shared" si="6"/>
        <v>0.67</v>
      </c>
      <c r="P15" s="23">
        <f t="shared" si="5"/>
        <v>296.05</v>
      </c>
      <c r="Q15" s="23">
        <f t="shared" si="1"/>
        <v>-3.96</v>
      </c>
      <c r="R15" s="9">
        <f t="shared" si="2"/>
        <v>-0.01316666667</v>
      </c>
      <c r="S15" s="24" t="s">
        <v>35</v>
      </c>
      <c r="T15" s="24" t="s">
        <v>36</v>
      </c>
      <c r="U15" s="11" t="str">
        <f t="shared" si="3"/>
        <v>Saturday</v>
      </c>
      <c r="V15" s="7" t="s">
        <v>63</v>
      </c>
      <c r="W15" s="11" t="str">
        <f t="shared" si="4"/>
        <v>Handicap</v>
      </c>
    </row>
    <row r="16">
      <c r="A16" s="7">
        <v>15.0</v>
      </c>
      <c r="B16" s="20">
        <v>45536.0</v>
      </c>
      <c r="C16" s="7">
        <v>3.0</v>
      </c>
      <c r="D16" s="7" t="s">
        <v>54</v>
      </c>
      <c r="E16" s="7">
        <v>1.0</v>
      </c>
      <c r="F16" s="7" t="s">
        <v>32</v>
      </c>
      <c r="G16" s="7">
        <v>1.0</v>
      </c>
      <c r="H16" s="11" t="s">
        <v>55</v>
      </c>
      <c r="I16" s="7" t="s">
        <v>66</v>
      </c>
      <c r="J16" s="21" t="s">
        <v>54</v>
      </c>
      <c r="K16" s="21">
        <v>1.2</v>
      </c>
      <c r="L16" s="4">
        <v>0.5</v>
      </c>
      <c r="M16" s="7" t="s">
        <v>34</v>
      </c>
      <c r="N16" s="22">
        <v>0.6</v>
      </c>
      <c r="O16" s="22">
        <f t="shared" si="6"/>
        <v>0.1</v>
      </c>
      <c r="P16" s="23">
        <f t="shared" si="5"/>
        <v>296.15</v>
      </c>
      <c r="Q16" s="23">
        <f t="shared" si="1"/>
        <v>-3.86</v>
      </c>
      <c r="R16" s="9">
        <f t="shared" si="2"/>
        <v>-0.01283333333</v>
      </c>
      <c r="S16" s="24" t="s">
        <v>35</v>
      </c>
      <c r="T16" s="24" t="s">
        <v>36</v>
      </c>
      <c r="U16" s="11" t="str">
        <f t="shared" si="3"/>
        <v>Sunday</v>
      </c>
      <c r="V16" s="7" t="s">
        <v>67</v>
      </c>
      <c r="W16" s="11" t="str">
        <f t="shared" si="4"/>
        <v>Handicap</v>
      </c>
    </row>
    <row r="17">
      <c r="A17" s="7">
        <v>16.0</v>
      </c>
      <c r="B17" s="20">
        <v>45536.0</v>
      </c>
      <c r="C17" s="7">
        <v>3.0</v>
      </c>
      <c r="D17" s="7" t="s">
        <v>54</v>
      </c>
      <c r="E17" s="7">
        <v>1.0</v>
      </c>
      <c r="F17" s="7" t="s">
        <v>32</v>
      </c>
      <c r="G17" s="7">
        <v>1.0</v>
      </c>
      <c r="H17" s="11" t="s">
        <v>55</v>
      </c>
      <c r="I17" s="7" t="s">
        <v>68</v>
      </c>
      <c r="J17" s="21" t="s">
        <v>32</v>
      </c>
      <c r="K17" s="21">
        <v>1.36</v>
      </c>
      <c r="L17" s="4">
        <v>0.5</v>
      </c>
      <c r="M17" s="7" t="s">
        <v>34</v>
      </c>
      <c r="N17" s="22">
        <v>0.69</v>
      </c>
      <c r="O17" s="22">
        <f t="shared" si="6"/>
        <v>0.19</v>
      </c>
      <c r="P17" s="23">
        <f t="shared" si="5"/>
        <v>296.34</v>
      </c>
      <c r="Q17" s="23">
        <f t="shared" si="1"/>
        <v>-3.67</v>
      </c>
      <c r="R17" s="9">
        <f t="shared" si="2"/>
        <v>-0.0122</v>
      </c>
      <c r="S17" s="24" t="s">
        <v>35</v>
      </c>
      <c r="T17" s="24" t="s">
        <v>36</v>
      </c>
      <c r="U17" s="11" t="str">
        <f t="shared" si="3"/>
        <v>Sunday</v>
      </c>
      <c r="V17" s="7" t="s">
        <v>67</v>
      </c>
      <c r="W17" s="11" t="str">
        <f t="shared" si="4"/>
        <v>Handicap</v>
      </c>
    </row>
    <row r="18">
      <c r="A18" s="7">
        <v>17.0</v>
      </c>
      <c r="B18" s="20">
        <v>45536.0</v>
      </c>
      <c r="C18" s="7">
        <v>3.0</v>
      </c>
      <c r="D18" s="7" t="s">
        <v>41</v>
      </c>
      <c r="E18" s="7">
        <v>1.0</v>
      </c>
      <c r="F18" s="7" t="s">
        <v>53</v>
      </c>
      <c r="G18" s="7">
        <v>3.0</v>
      </c>
      <c r="H18" s="11" t="s">
        <v>55</v>
      </c>
      <c r="I18" s="7" t="s">
        <v>56</v>
      </c>
      <c r="J18" s="21" t="s">
        <v>53</v>
      </c>
      <c r="K18" s="21">
        <v>1.9</v>
      </c>
      <c r="L18" s="4">
        <v>2.0</v>
      </c>
      <c r="M18" s="7" t="s">
        <v>34</v>
      </c>
      <c r="N18" s="22">
        <v>3.82</v>
      </c>
      <c r="O18" s="22">
        <f t="shared" si="6"/>
        <v>1.82</v>
      </c>
      <c r="P18" s="23">
        <f t="shared" si="5"/>
        <v>298.16</v>
      </c>
      <c r="Q18" s="23">
        <f t="shared" si="1"/>
        <v>-1.85</v>
      </c>
      <c r="R18" s="9">
        <f t="shared" si="2"/>
        <v>-0.006133333333</v>
      </c>
      <c r="S18" s="24" t="s">
        <v>35</v>
      </c>
      <c r="T18" s="24" t="s">
        <v>36</v>
      </c>
      <c r="U18" s="11" t="str">
        <f t="shared" si="3"/>
        <v>Sunday</v>
      </c>
      <c r="W18" s="11" t="str">
        <f t="shared" si="4"/>
        <v>Handicap</v>
      </c>
    </row>
    <row r="19">
      <c r="A19" s="7">
        <v>18.0</v>
      </c>
      <c r="B19" s="20">
        <v>45536.0</v>
      </c>
      <c r="C19" s="7">
        <v>3.0</v>
      </c>
      <c r="D19" s="7" t="s">
        <v>69</v>
      </c>
      <c r="E19" s="7">
        <v>1.0</v>
      </c>
      <c r="F19" s="7" t="s">
        <v>46</v>
      </c>
      <c r="G19" s="7">
        <v>1.0</v>
      </c>
      <c r="H19" s="11" t="s">
        <v>33</v>
      </c>
      <c r="I19" s="7" t="s">
        <v>69</v>
      </c>
      <c r="J19" s="21" t="s">
        <v>69</v>
      </c>
      <c r="K19" s="21">
        <v>1.61</v>
      </c>
      <c r="L19" s="4">
        <v>3.0</v>
      </c>
      <c r="M19" s="7" t="s">
        <v>44</v>
      </c>
      <c r="N19" s="22">
        <v>0.0</v>
      </c>
      <c r="O19" s="22">
        <f t="shared" si="6"/>
        <v>-3</v>
      </c>
      <c r="P19" s="23">
        <f t="shared" si="5"/>
        <v>295.16</v>
      </c>
      <c r="Q19" s="23">
        <f t="shared" si="1"/>
        <v>-4.85</v>
      </c>
      <c r="R19" s="9">
        <f t="shared" si="2"/>
        <v>-0.01613333333</v>
      </c>
      <c r="S19" s="24" t="s">
        <v>35</v>
      </c>
      <c r="T19" s="24" t="s">
        <v>36</v>
      </c>
      <c r="U19" s="11" t="str">
        <f t="shared" si="3"/>
        <v>Sunday</v>
      </c>
      <c r="W19" s="11" t="str">
        <f t="shared" si="4"/>
        <v>Full Time Result</v>
      </c>
    </row>
    <row r="20">
      <c r="A20" s="7">
        <v>19.0</v>
      </c>
      <c r="B20" s="20">
        <v>45536.0</v>
      </c>
      <c r="D20" s="7" t="s">
        <v>70</v>
      </c>
      <c r="F20" s="7" t="s">
        <v>70</v>
      </c>
      <c r="G20" s="7"/>
      <c r="H20" s="11" t="s">
        <v>71</v>
      </c>
      <c r="I20" s="7" t="s">
        <v>57</v>
      </c>
      <c r="J20" s="21" t="s">
        <v>70</v>
      </c>
      <c r="K20" s="21">
        <v>3.0</v>
      </c>
      <c r="L20" s="4">
        <v>4.0</v>
      </c>
      <c r="M20" s="7" t="s">
        <v>44</v>
      </c>
      <c r="N20" s="22">
        <v>3.0</v>
      </c>
      <c r="O20" s="22">
        <f t="shared" si="6"/>
        <v>-1</v>
      </c>
      <c r="P20" s="23">
        <f t="shared" si="5"/>
        <v>294.16</v>
      </c>
      <c r="Q20" s="23">
        <f t="shared" si="1"/>
        <v>-5.85</v>
      </c>
      <c r="R20" s="9">
        <f t="shared" si="2"/>
        <v>-0.01946666667</v>
      </c>
      <c r="S20" s="24" t="s">
        <v>35</v>
      </c>
      <c r="T20" s="24" t="s">
        <v>36</v>
      </c>
      <c r="U20" s="11" t="str">
        <f t="shared" si="3"/>
        <v>Sunday</v>
      </c>
      <c r="V20" s="7" t="s">
        <v>72</v>
      </c>
      <c r="W20" s="11" t="str">
        <f t="shared" si="4"/>
        <v>Relegation</v>
      </c>
    </row>
    <row r="21">
      <c r="A21" s="7">
        <v>20.0</v>
      </c>
      <c r="B21" s="20">
        <v>45543.0</v>
      </c>
      <c r="C21" s="7" t="s">
        <v>73</v>
      </c>
      <c r="D21" s="7" t="s">
        <v>74</v>
      </c>
      <c r="E21" s="7">
        <v>3.0</v>
      </c>
      <c r="F21" s="7" t="s">
        <v>75</v>
      </c>
      <c r="G21" s="7">
        <v>0.0</v>
      </c>
      <c r="H21" s="11" t="s">
        <v>47</v>
      </c>
      <c r="I21" s="7" t="s">
        <v>76</v>
      </c>
      <c r="J21" s="21" t="s">
        <v>75</v>
      </c>
      <c r="K21" s="21">
        <v>3.0</v>
      </c>
      <c r="L21" s="4">
        <v>1.0</v>
      </c>
      <c r="M21" s="7" t="s">
        <v>44</v>
      </c>
      <c r="N21" s="22">
        <v>0.0</v>
      </c>
      <c r="O21" s="22">
        <f t="shared" si="6"/>
        <v>-1</v>
      </c>
      <c r="P21" s="23">
        <f t="shared" si="5"/>
        <v>293.16</v>
      </c>
      <c r="Q21" s="23">
        <f t="shared" si="1"/>
        <v>-6.85</v>
      </c>
      <c r="R21" s="9">
        <f t="shared" si="2"/>
        <v>-0.0228</v>
      </c>
      <c r="S21" s="24" t="s">
        <v>77</v>
      </c>
      <c r="T21" s="24" t="s">
        <v>36</v>
      </c>
      <c r="U21" s="11" t="str">
        <f t="shared" si="3"/>
        <v>Sunday</v>
      </c>
      <c r="W21" s="11" t="str">
        <f t="shared" si="4"/>
        <v>Double Chance</v>
      </c>
    </row>
    <row r="22">
      <c r="A22" s="7">
        <v>21.0</v>
      </c>
      <c r="B22" s="20">
        <v>45550.0</v>
      </c>
      <c r="C22" s="7">
        <v>4.0</v>
      </c>
      <c r="D22" s="7" t="s">
        <v>42</v>
      </c>
      <c r="E22" s="7">
        <v>3.0</v>
      </c>
      <c r="F22" s="7" t="s">
        <v>57</v>
      </c>
      <c r="G22" s="7">
        <v>2.0</v>
      </c>
      <c r="H22" s="11" t="s">
        <v>33</v>
      </c>
      <c r="I22" s="7" t="s">
        <v>42</v>
      </c>
      <c r="J22" s="21" t="s">
        <v>42</v>
      </c>
      <c r="K22" s="21">
        <v>1.5</v>
      </c>
      <c r="L22" s="4">
        <v>2.0</v>
      </c>
      <c r="M22" s="7" t="s">
        <v>34</v>
      </c>
      <c r="N22" s="22">
        <v>3.0</v>
      </c>
      <c r="O22" s="22">
        <f t="shared" si="6"/>
        <v>1</v>
      </c>
      <c r="P22" s="23">
        <f t="shared" si="5"/>
        <v>294.16</v>
      </c>
      <c r="Q22" s="23">
        <f t="shared" si="1"/>
        <v>-5.85</v>
      </c>
      <c r="R22" s="9">
        <f t="shared" si="2"/>
        <v>-0.01946666667</v>
      </c>
      <c r="S22" s="24" t="s">
        <v>35</v>
      </c>
      <c r="T22" s="24" t="s">
        <v>36</v>
      </c>
      <c r="U22" s="11" t="str">
        <f t="shared" si="3"/>
        <v>Sunday</v>
      </c>
      <c r="W22" s="11" t="str">
        <f t="shared" si="4"/>
        <v>Full Time Result</v>
      </c>
    </row>
    <row r="23">
      <c r="A23" s="7">
        <v>22.0</v>
      </c>
      <c r="B23" s="20">
        <v>45550.0</v>
      </c>
      <c r="C23" s="7">
        <v>4.0</v>
      </c>
      <c r="D23" s="7" t="s">
        <v>53</v>
      </c>
      <c r="E23" s="7">
        <v>2.0</v>
      </c>
      <c r="F23" s="7" t="s">
        <v>45</v>
      </c>
      <c r="G23" s="7">
        <v>1.0</v>
      </c>
      <c r="H23" s="11" t="s">
        <v>55</v>
      </c>
      <c r="I23" s="7" t="s">
        <v>56</v>
      </c>
      <c r="J23" s="21" t="s">
        <v>53</v>
      </c>
      <c r="K23" s="21">
        <v>1.5</v>
      </c>
      <c r="L23" s="4">
        <v>2.0</v>
      </c>
      <c r="M23" s="7" t="s">
        <v>44</v>
      </c>
      <c r="N23" s="22">
        <v>0.0</v>
      </c>
      <c r="O23" s="22">
        <f t="shared" si="6"/>
        <v>-2</v>
      </c>
      <c r="P23" s="23">
        <f t="shared" si="5"/>
        <v>292.16</v>
      </c>
      <c r="Q23" s="23">
        <f t="shared" si="1"/>
        <v>-7.85</v>
      </c>
      <c r="R23" s="9">
        <f t="shared" si="2"/>
        <v>-0.02613333333</v>
      </c>
      <c r="S23" s="24" t="s">
        <v>35</v>
      </c>
      <c r="T23" s="24" t="s">
        <v>36</v>
      </c>
      <c r="U23" s="11" t="str">
        <f t="shared" si="3"/>
        <v>Sunday</v>
      </c>
      <c r="W23" s="11" t="str">
        <f t="shared" si="4"/>
        <v>Handicap</v>
      </c>
    </row>
    <row r="24">
      <c r="A24" s="7">
        <v>23.0</v>
      </c>
      <c r="B24" s="20">
        <v>45550.0</v>
      </c>
      <c r="C24" s="7">
        <v>4.0</v>
      </c>
      <c r="D24" s="7" t="s">
        <v>61</v>
      </c>
      <c r="E24" s="7">
        <v>0.0</v>
      </c>
      <c r="F24" s="7" t="s">
        <v>78</v>
      </c>
      <c r="G24" s="7">
        <v>1.0</v>
      </c>
      <c r="H24" s="11" t="s">
        <v>55</v>
      </c>
      <c r="I24" s="7" t="s">
        <v>62</v>
      </c>
      <c r="J24" s="21" t="s">
        <v>61</v>
      </c>
      <c r="K24" s="21">
        <v>1.61</v>
      </c>
      <c r="L24" s="4">
        <v>2.0</v>
      </c>
      <c r="M24" s="7" t="s">
        <v>44</v>
      </c>
      <c r="N24" s="22">
        <v>0.0</v>
      </c>
      <c r="O24" s="22">
        <f t="shared" si="6"/>
        <v>-2</v>
      </c>
      <c r="P24" s="23">
        <f t="shared" si="5"/>
        <v>290.16</v>
      </c>
      <c r="Q24" s="23">
        <f t="shared" si="1"/>
        <v>-9.85</v>
      </c>
      <c r="R24" s="9">
        <f t="shared" si="2"/>
        <v>-0.0328</v>
      </c>
      <c r="S24" s="24" t="s">
        <v>35</v>
      </c>
      <c r="T24" s="24" t="s">
        <v>36</v>
      </c>
      <c r="U24" s="11" t="str">
        <f t="shared" si="3"/>
        <v>Sunday</v>
      </c>
      <c r="W24" s="11" t="str">
        <f t="shared" si="4"/>
        <v>Handicap</v>
      </c>
    </row>
    <row r="25">
      <c r="A25" s="7">
        <v>24.0</v>
      </c>
      <c r="B25" s="20">
        <v>45550.0</v>
      </c>
      <c r="C25" s="7">
        <v>4.0</v>
      </c>
      <c r="D25" s="7" t="s">
        <v>46</v>
      </c>
      <c r="E25" s="7">
        <v>2.0</v>
      </c>
      <c r="F25" s="7" t="s">
        <v>49</v>
      </c>
      <c r="G25" s="7">
        <v>2.0</v>
      </c>
      <c r="H25" s="11" t="s">
        <v>33</v>
      </c>
      <c r="I25" s="7" t="s">
        <v>46</v>
      </c>
      <c r="J25" s="21" t="s">
        <v>46</v>
      </c>
      <c r="K25" s="21">
        <v>1.61</v>
      </c>
      <c r="L25" s="4">
        <v>2.0</v>
      </c>
      <c r="M25" s="7" t="s">
        <v>44</v>
      </c>
      <c r="N25" s="22">
        <v>0.0</v>
      </c>
      <c r="O25" s="22">
        <f t="shared" si="6"/>
        <v>-2</v>
      </c>
      <c r="P25" s="23">
        <f t="shared" si="5"/>
        <v>288.16</v>
      </c>
      <c r="Q25" s="23">
        <f t="shared" si="1"/>
        <v>-11.85</v>
      </c>
      <c r="R25" s="9">
        <f t="shared" si="2"/>
        <v>-0.03946666667</v>
      </c>
      <c r="S25" s="24" t="s">
        <v>35</v>
      </c>
      <c r="T25" s="24" t="s">
        <v>36</v>
      </c>
      <c r="U25" s="11" t="str">
        <f t="shared" si="3"/>
        <v>Sunday</v>
      </c>
      <c r="W25" s="11" t="str">
        <f t="shared" si="4"/>
        <v>Full Time Result</v>
      </c>
    </row>
    <row r="26">
      <c r="A26" s="7">
        <v>25.0</v>
      </c>
      <c r="B26" s="20">
        <v>45551.0</v>
      </c>
      <c r="C26" s="7">
        <v>4.0</v>
      </c>
      <c r="D26" s="7" t="s">
        <v>38</v>
      </c>
      <c r="E26" s="7">
        <v>1.0</v>
      </c>
      <c r="F26" s="7" t="s">
        <v>59</v>
      </c>
      <c r="G26" s="7">
        <v>2.0</v>
      </c>
      <c r="H26" s="11" t="s">
        <v>47</v>
      </c>
      <c r="I26" s="7" t="s">
        <v>79</v>
      </c>
      <c r="J26" s="21" t="s">
        <v>59</v>
      </c>
      <c r="K26" s="21">
        <v>1.3</v>
      </c>
      <c r="L26" s="4">
        <v>2.0</v>
      </c>
      <c r="M26" s="7" t="s">
        <v>34</v>
      </c>
      <c r="N26" s="22">
        <v>2.6</v>
      </c>
      <c r="O26" s="22">
        <f t="shared" si="6"/>
        <v>0.6</v>
      </c>
      <c r="P26" s="23">
        <f t="shared" si="5"/>
        <v>288.76</v>
      </c>
      <c r="Q26" s="23">
        <f t="shared" si="1"/>
        <v>-11.25</v>
      </c>
      <c r="R26" s="9">
        <f t="shared" si="2"/>
        <v>-0.03746666667</v>
      </c>
      <c r="S26" s="24" t="s">
        <v>35</v>
      </c>
      <c r="T26" s="24" t="s">
        <v>36</v>
      </c>
      <c r="U26" s="11" t="str">
        <f t="shared" si="3"/>
        <v>Monday</v>
      </c>
      <c r="W26" s="11" t="str">
        <f t="shared" si="4"/>
        <v>Double Chance</v>
      </c>
    </row>
    <row r="27">
      <c r="A27" s="7">
        <v>26.0</v>
      </c>
      <c r="B27" s="20">
        <v>45557.0</v>
      </c>
      <c r="C27" s="7">
        <v>5.0</v>
      </c>
      <c r="D27" s="7" t="s">
        <v>42</v>
      </c>
      <c r="E27" s="7">
        <v>3.0</v>
      </c>
      <c r="F27" s="7" t="s">
        <v>38</v>
      </c>
      <c r="G27" s="7">
        <v>1.0</v>
      </c>
      <c r="H27" s="11" t="s">
        <v>33</v>
      </c>
      <c r="I27" s="7" t="s">
        <v>42</v>
      </c>
      <c r="J27" s="21" t="s">
        <v>42</v>
      </c>
      <c r="K27" s="21">
        <v>1.57</v>
      </c>
      <c r="L27" s="4">
        <v>2.0</v>
      </c>
      <c r="M27" s="7" t="s">
        <v>34</v>
      </c>
      <c r="N27" s="22">
        <v>3.15</v>
      </c>
      <c r="O27" s="22">
        <f t="shared" si="6"/>
        <v>1.15</v>
      </c>
      <c r="P27" s="23">
        <f t="shared" si="5"/>
        <v>289.91</v>
      </c>
      <c r="Q27" s="23">
        <f t="shared" si="1"/>
        <v>-10.1</v>
      </c>
      <c r="R27" s="9">
        <f t="shared" si="2"/>
        <v>-0.03363333333</v>
      </c>
      <c r="S27" s="24" t="s">
        <v>35</v>
      </c>
      <c r="T27" s="24" t="s">
        <v>36</v>
      </c>
      <c r="U27" s="11" t="str">
        <f t="shared" si="3"/>
        <v>Sunday</v>
      </c>
      <c r="W27" s="11" t="str">
        <f t="shared" si="4"/>
        <v>Full Time Result</v>
      </c>
    </row>
    <row r="28">
      <c r="A28" s="7">
        <v>27.0</v>
      </c>
      <c r="B28" s="20">
        <v>45557.0</v>
      </c>
      <c r="C28" s="7">
        <v>5.0</v>
      </c>
      <c r="D28" s="7" t="s">
        <v>50</v>
      </c>
      <c r="E28" s="7">
        <v>3.0</v>
      </c>
      <c r="F28" s="7" t="s">
        <v>45</v>
      </c>
      <c r="G28" s="7">
        <v>1.0</v>
      </c>
      <c r="H28" s="11" t="s">
        <v>33</v>
      </c>
      <c r="I28" s="7" t="s">
        <v>50</v>
      </c>
      <c r="J28" s="21" t="s">
        <v>50</v>
      </c>
      <c r="K28" s="21">
        <v>1.5</v>
      </c>
      <c r="L28" s="4">
        <v>2.0</v>
      </c>
      <c r="M28" s="7" t="s">
        <v>34</v>
      </c>
      <c r="N28" s="22">
        <v>3.0</v>
      </c>
      <c r="O28" s="22">
        <f t="shared" si="6"/>
        <v>1</v>
      </c>
      <c r="P28" s="23">
        <f t="shared" si="5"/>
        <v>290.91</v>
      </c>
      <c r="Q28" s="23">
        <f t="shared" si="1"/>
        <v>-9.1</v>
      </c>
      <c r="R28" s="9">
        <f t="shared" si="2"/>
        <v>-0.0303</v>
      </c>
      <c r="S28" s="24" t="s">
        <v>35</v>
      </c>
      <c r="T28" s="24" t="s">
        <v>36</v>
      </c>
      <c r="U28" s="11" t="str">
        <f t="shared" si="3"/>
        <v>Sunday</v>
      </c>
      <c r="W28" s="11" t="str">
        <f t="shared" si="4"/>
        <v>Full Time Result</v>
      </c>
    </row>
    <row r="29">
      <c r="A29" s="7">
        <v>28.0</v>
      </c>
      <c r="B29" s="20">
        <v>45557.0</v>
      </c>
      <c r="C29" s="7">
        <v>5.0</v>
      </c>
      <c r="D29" s="7" t="s">
        <v>49</v>
      </c>
      <c r="E29" s="7">
        <v>1.0</v>
      </c>
      <c r="F29" s="7" t="s">
        <v>57</v>
      </c>
      <c r="G29" s="7">
        <v>1.0</v>
      </c>
      <c r="H29" s="11" t="s">
        <v>55</v>
      </c>
      <c r="I29" s="7" t="s">
        <v>80</v>
      </c>
      <c r="J29" s="21" t="s">
        <v>49</v>
      </c>
      <c r="K29" s="21">
        <v>1.4</v>
      </c>
      <c r="L29" s="4">
        <v>2.0</v>
      </c>
      <c r="M29" s="7" t="s">
        <v>34</v>
      </c>
      <c r="N29" s="22">
        <v>2.8</v>
      </c>
      <c r="O29" s="22">
        <f t="shared" si="6"/>
        <v>0.8</v>
      </c>
      <c r="P29" s="23">
        <f t="shared" si="5"/>
        <v>291.71</v>
      </c>
      <c r="Q29" s="23">
        <f t="shared" si="1"/>
        <v>-8.3</v>
      </c>
      <c r="R29" s="9">
        <f t="shared" si="2"/>
        <v>-0.02763333333</v>
      </c>
      <c r="S29" s="24" t="s">
        <v>35</v>
      </c>
      <c r="T29" s="24" t="s">
        <v>36</v>
      </c>
      <c r="U29" s="11" t="str">
        <f t="shared" si="3"/>
        <v>Sunday</v>
      </c>
      <c r="W29" s="11" t="str">
        <f t="shared" si="4"/>
        <v>Handicap</v>
      </c>
    </row>
    <row r="30">
      <c r="A30" s="7">
        <v>29.0</v>
      </c>
      <c r="B30" s="20">
        <v>45557.0</v>
      </c>
      <c r="C30" s="7">
        <v>5.0</v>
      </c>
      <c r="D30" s="7" t="s">
        <v>46</v>
      </c>
      <c r="E30" s="7">
        <v>0.0</v>
      </c>
      <c r="F30" s="7" t="s">
        <v>31</v>
      </c>
      <c r="G30" s="7">
        <v>0.0</v>
      </c>
      <c r="H30" s="11" t="s">
        <v>55</v>
      </c>
      <c r="I30" s="7" t="s">
        <v>81</v>
      </c>
      <c r="J30" s="21" t="s">
        <v>31</v>
      </c>
      <c r="K30" s="21">
        <v>1.4</v>
      </c>
      <c r="L30" s="4">
        <v>2.0</v>
      </c>
      <c r="M30" s="7" t="s">
        <v>34</v>
      </c>
      <c r="N30" s="22">
        <v>2.8</v>
      </c>
      <c r="O30" s="22">
        <f t="shared" si="6"/>
        <v>0.8</v>
      </c>
      <c r="P30" s="23">
        <f t="shared" si="5"/>
        <v>292.51</v>
      </c>
      <c r="Q30" s="23">
        <f t="shared" si="1"/>
        <v>-7.5</v>
      </c>
      <c r="R30" s="9">
        <f t="shared" si="2"/>
        <v>-0.02496666667</v>
      </c>
      <c r="S30" s="24" t="s">
        <v>35</v>
      </c>
      <c r="T30" s="24" t="s">
        <v>36</v>
      </c>
      <c r="U30" s="11" t="str">
        <f t="shared" si="3"/>
        <v>Sunday</v>
      </c>
      <c r="W30" s="11" t="str">
        <f t="shared" si="4"/>
        <v>Handicap</v>
      </c>
    </row>
    <row r="31">
      <c r="A31" s="7">
        <v>30.0</v>
      </c>
      <c r="B31" s="20">
        <v>45558.0</v>
      </c>
      <c r="C31" s="7">
        <v>5.0</v>
      </c>
      <c r="D31" s="7" t="s">
        <v>53</v>
      </c>
      <c r="E31" s="7">
        <v>2.0</v>
      </c>
      <c r="F31" s="7" t="s">
        <v>37</v>
      </c>
      <c r="G31" s="7">
        <v>2.0</v>
      </c>
      <c r="H31" s="11" t="s">
        <v>82</v>
      </c>
      <c r="I31" s="7" t="s">
        <v>83</v>
      </c>
      <c r="J31" s="21" t="s">
        <v>70</v>
      </c>
      <c r="K31" s="21">
        <v>1.8</v>
      </c>
      <c r="L31" s="4">
        <v>2.0</v>
      </c>
      <c r="M31" s="7" t="s">
        <v>34</v>
      </c>
      <c r="N31" s="22">
        <v>3.6</v>
      </c>
      <c r="O31" s="22">
        <f t="shared" si="6"/>
        <v>1.6</v>
      </c>
      <c r="P31" s="23">
        <f t="shared" si="5"/>
        <v>294.11</v>
      </c>
      <c r="Q31" s="23">
        <f t="shared" si="1"/>
        <v>-5.9</v>
      </c>
      <c r="R31" s="9">
        <f t="shared" si="2"/>
        <v>-0.01963333333</v>
      </c>
      <c r="S31" s="24" t="s">
        <v>35</v>
      </c>
      <c r="T31" s="24" t="s">
        <v>36</v>
      </c>
      <c r="U31" s="11" t="str">
        <f t="shared" si="3"/>
        <v>Monday</v>
      </c>
      <c r="W31" s="11" t="str">
        <f t="shared" si="4"/>
        <v>BTTS</v>
      </c>
    </row>
    <row r="32">
      <c r="A32" s="7">
        <v>31.0</v>
      </c>
      <c r="B32" s="20">
        <v>45564.0</v>
      </c>
      <c r="C32" s="7">
        <v>6.0</v>
      </c>
      <c r="D32" s="7" t="s">
        <v>57</v>
      </c>
      <c r="E32" s="7">
        <v>2.0</v>
      </c>
      <c r="F32" s="7" t="s">
        <v>46</v>
      </c>
      <c r="G32" s="7">
        <v>1.0</v>
      </c>
      <c r="H32" s="11" t="s">
        <v>55</v>
      </c>
      <c r="I32" s="7" t="s">
        <v>84</v>
      </c>
      <c r="J32" s="21" t="s">
        <v>57</v>
      </c>
      <c r="K32" s="21">
        <v>1.5</v>
      </c>
      <c r="L32" s="4">
        <v>2.0</v>
      </c>
      <c r="M32" s="7" t="s">
        <v>34</v>
      </c>
      <c r="N32" s="22">
        <v>3.0</v>
      </c>
      <c r="O32" s="22">
        <f t="shared" si="6"/>
        <v>1</v>
      </c>
      <c r="P32" s="23">
        <f t="shared" si="5"/>
        <v>295.11</v>
      </c>
      <c r="Q32" s="23">
        <f t="shared" si="1"/>
        <v>-4.9</v>
      </c>
      <c r="R32" s="9">
        <f t="shared" si="2"/>
        <v>-0.0163</v>
      </c>
      <c r="S32" s="24" t="s">
        <v>35</v>
      </c>
      <c r="T32" s="24" t="s">
        <v>36</v>
      </c>
      <c r="U32" s="11" t="str">
        <f t="shared" si="3"/>
        <v>Sunday</v>
      </c>
      <c r="W32" s="11" t="str">
        <f t="shared" si="4"/>
        <v>Handicap</v>
      </c>
    </row>
    <row r="33">
      <c r="A33" s="7">
        <v>32.0</v>
      </c>
      <c r="B33" s="20">
        <v>45564.0</v>
      </c>
      <c r="C33" s="7">
        <v>6.0</v>
      </c>
      <c r="D33" s="7" t="s">
        <v>37</v>
      </c>
      <c r="E33" s="7">
        <v>4.0</v>
      </c>
      <c r="F33" s="7" t="s">
        <v>49</v>
      </c>
      <c r="G33" s="7">
        <v>2.0</v>
      </c>
      <c r="H33" s="11" t="s">
        <v>55</v>
      </c>
      <c r="I33" s="7" t="s">
        <v>85</v>
      </c>
      <c r="J33" s="21" t="s">
        <v>37</v>
      </c>
      <c r="K33" s="21">
        <v>1.53</v>
      </c>
      <c r="L33" s="4">
        <v>2.0</v>
      </c>
      <c r="M33" s="7" t="s">
        <v>34</v>
      </c>
      <c r="N33" s="22">
        <v>3.07</v>
      </c>
      <c r="O33" s="22">
        <f t="shared" si="6"/>
        <v>1.07</v>
      </c>
      <c r="P33" s="23">
        <f t="shared" si="5"/>
        <v>296.18</v>
      </c>
      <c r="Q33" s="23">
        <f t="shared" si="1"/>
        <v>-3.83</v>
      </c>
      <c r="R33" s="9">
        <f t="shared" si="2"/>
        <v>-0.01273333333</v>
      </c>
      <c r="S33" s="24" t="s">
        <v>35</v>
      </c>
      <c r="T33" s="24" t="s">
        <v>36</v>
      </c>
      <c r="U33" s="11" t="str">
        <f t="shared" si="3"/>
        <v>Sunday</v>
      </c>
      <c r="W33" s="11" t="str">
        <f t="shared" si="4"/>
        <v>Handicap</v>
      </c>
    </row>
    <row r="34">
      <c r="A34" s="7">
        <v>33.0</v>
      </c>
      <c r="B34" s="20">
        <v>45564.0</v>
      </c>
      <c r="C34" s="7">
        <v>6.0</v>
      </c>
      <c r="D34" s="7" t="s">
        <v>38</v>
      </c>
      <c r="E34" s="7">
        <v>1.0</v>
      </c>
      <c r="F34" s="7" t="s">
        <v>61</v>
      </c>
      <c r="G34" s="7">
        <v>2.0</v>
      </c>
      <c r="H34" s="11" t="s">
        <v>33</v>
      </c>
      <c r="I34" s="7" t="s">
        <v>86</v>
      </c>
      <c r="J34" s="21" t="s">
        <v>61</v>
      </c>
      <c r="K34" s="21">
        <v>1.38</v>
      </c>
      <c r="L34" s="4">
        <v>2.0</v>
      </c>
      <c r="M34" s="7" t="s">
        <v>34</v>
      </c>
      <c r="N34" s="22">
        <v>2.76</v>
      </c>
      <c r="O34" s="22">
        <f t="shared" si="6"/>
        <v>0.76</v>
      </c>
      <c r="P34" s="23">
        <f t="shared" si="5"/>
        <v>296.94</v>
      </c>
      <c r="Q34" s="23">
        <f t="shared" si="1"/>
        <v>-3.07</v>
      </c>
      <c r="R34" s="9">
        <f t="shared" si="2"/>
        <v>-0.0102</v>
      </c>
      <c r="S34" s="24" t="s">
        <v>35</v>
      </c>
      <c r="T34" s="24" t="s">
        <v>36</v>
      </c>
      <c r="U34" s="11" t="str">
        <f t="shared" si="3"/>
        <v>Sunday</v>
      </c>
      <c r="W34" s="11" t="str">
        <f t="shared" si="4"/>
        <v>Full Time Result</v>
      </c>
    </row>
    <row r="35">
      <c r="A35" s="7">
        <v>34.0</v>
      </c>
      <c r="B35" s="20">
        <v>45565.0</v>
      </c>
      <c r="C35" s="7">
        <v>6.0</v>
      </c>
      <c r="D35" s="7" t="s">
        <v>54</v>
      </c>
      <c r="E35" s="7">
        <v>2.0</v>
      </c>
      <c r="F35" s="7" t="s">
        <v>42</v>
      </c>
      <c r="G35" s="7">
        <v>2.0</v>
      </c>
      <c r="H35" s="11" t="s">
        <v>33</v>
      </c>
      <c r="I35" s="7" t="s">
        <v>87</v>
      </c>
      <c r="J35" s="21" t="s">
        <v>42</v>
      </c>
      <c r="K35" s="21">
        <v>1.83</v>
      </c>
      <c r="L35" s="4">
        <v>2.0</v>
      </c>
      <c r="M35" s="7" t="s">
        <v>44</v>
      </c>
      <c r="N35" s="22">
        <v>0.0</v>
      </c>
      <c r="O35" s="22">
        <f t="shared" si="6"/>
        <v>-2</v>
      </c>
      <c r="P35" s="23">
        <f t="shared" si="5"/>
        <v>294.94</v>
      </c>
      <c r="Q35" s="23">
        <f t="shared" si="1"/>
        <v>-5.07</v>
      </c>
      <c r="R35" s="9">
        <f t="shared" si="2"/>
        <v>-0.01686666667</v>
      </c>
      <c r="S35" s="24" t="s">
        <v>35</v>
      </c>
      <c r="T35" s="24" t="s">
        <v>36</v>
      </c>
      <c r="U35" s="11" t="str">
        <f t="shared" si="3"/>
        <v>Monday</v>
      </c>
      <c r="W35" s="11" t="str">
        <f t="shared" si="4"/>
        <v>Full Time Result</v>
      </c>
    </row>
    <row r="36">
      <c r="A36" s="7">
        <v>35.0</v>
      </c>
      <c r="B36" s="20">
        <v>45565.0</v>
      </c>
      <c r="C36" s="7">
        <v>6.0</v>
      </c>
      <c r="D36" s="7" t="s">
        <v>31</v>
      </c>
      <c r="E36" s="7">
        <v>0.0</v>
      </c>
      <c r="F36" s="7" t="s">
        <v>50</v>
      </c>
      <c r="G36" s="7">
        <v>3.0</v>
      </c>
      <c r="H36" s="11" t="s">
        <v>55</v>
      </c>
      <c r="I36" s="7" t="s">
        <v>81</v>
      </c>
      <c r="J36" s="21" t="s">
        <v>31</v>
      </c>
      <c r="K36" s="21">
        <v>1.4</v>
      </c>
      <c r="L36" s="4">
        <v>2.0</v>
      </c>
      <c r="M36" s="7" t="s">
        <v>44</v>
      </c>
      <c r="N36" s="22">
        <v>0.0</v>
      </c>
      <c r="O36" s="22">
        <f t="shared" si="6"/>
        <v>-2</v>
      </c>
      <c r="P36" s="23">
        <f t="shared" si="5"/>
        <v>292.94</v>
      </c>
      <c r="Q36" s="23">
        <f t="shared" si="1"/>
        <v>-7.07</v>
      </c>
      <c r="R36" s="9">
        <f t="shared" si="2"/>
        <v>-0.02353333333</v>
      </c>
      <c r="S36" s="24" t="s">
        <v>35</v>
      </c>
      <c r="T36" s="24" t="s">
        <v>36</v>
      </c>
      <c r="U36" s="11" t="str">
        <f t="shared" si="3"/>
        <v>Monday</v>
      </c>
      <c r="W36" s="11" t="str">
        <f t="shared" si="4"/>
        <v>Handicap</v>
      </c>
    </row>
    <row r="37">
      <c r="A37" s="7">
        <v>36.0</v>
      </c>
      <c r="B37" s="20">
        <v>45571.0</v>
      </c>
      <c r="C37" s="7">
        <v>7.0</v>
      </c>
      <c r="D37" s="7" t="s">
        <v>46</v>
      </c>
      <c r="E37" s="7">
        <v>0.0</v>
      </c>
      <c r="F37" s="7" t="s">
        <v>61</v>
      </c>
      <c r="G37" s="7">
        <v>1.0</v>
      </c>
      <c r="H37" s="11" t="s">
        <v>33</v>
      </c>
      <c r="I37" s="7" t="s">
        <v>61</v>
      </c>
      <c r="J37" s="21" t="s">
        <v>61</v>
      </c>
      <c r="K37" s="21">
        <v>1.5</v>
      </c>
      <c r="L37" s="4">
        <v>2.0</v>
      </c>
      <c r="M37" s="7" t="s">
        <v>34</v>
      </c>
      <c r="N37" s="22">
        <v>3.0</v>
      </c>
      <c r="O37" s="22">
        <f t="shared" si="6"/>
        <v>1</v>
      </c>
      <c r="P37" s="23">
        <f t="shared" si="5"/>
        <v>293.94</v>
      </c>
      <c r="Q37" s="23">
        <f t="shared" si="1"/>
        <v>-6.07</v>
      </c>
      <c r="R37" s="9">
        <f t="shared" si="2"/>
        <v>-0.0202</v>
      </c>
      <c r="S37" s="24" t="s">
        <v>35</v>
      </c>
      <c r="T37" s="24" t="s">
        <v>36</v>
      </c>
      <c r="U37" s="11" t="str">
        <f t="shared" si="3"/>
        <v>Sunday</v>
      </c>
      <c r="W37" s="11" t="str">
        <f t="shared" si="4"/>
        <v>Full Time Result</v>
      </c>
    </row>
    <row r="38">
      <c r="A38" s="7">
        <v>37.0</v>
      </c>
      <c r="B38" s="20">
        <v>45571.0</v>
      </c>
      <c r="C38" s="7">
        <v>7.0</v>
      </c>
      <c r="D38" s="7" t="s">
        <v>37</v>
      </c>
      <c r="E38" s="7">
        <v>3.0</v>
      </c>
      <c r="F38" s="7" t="s">
        <v>88</v>
      </c>
      <c r="G38" s="7">
        <v>1.0</v>
      </c>
      <c r="H38" s="11" t="s">
        <v>55</v>
      </c>
      <c r="I38" s="7" t="s">
        <v>85</v>
      </c>
      <c r="J38" s="21" t="s">
        <v>37</v>
      </c>
      <c r="K38" s="21">
        <v>1.4</v>
      </c>
      <c r="L38" s="4">
        <v>2.0</v>
      </c>
      <c r="M38" s="7" t="s">
        <v>34</v>
      </c>
      <c r="N38" s="22">
        <v>2.8</v>
      </c>
      <c r="O38" s="22">
        <f t="shared" si="6"/>
        <v>0.8</v>
      </c>
      <c r="P38" s="23">
        <f t="shared" si="5"/>
        <v>294.74</v>
      </c>
      <c r="Q38" s="23">
        <f t="shared" si="1"/>
        <v>-5.27</v>
      </c>
      <c r="R38" s="9">
        <f t="shared" si="2"/>
        <v>-0.01753333333</v>
      </c>
      <c r="S38" s="24" t="s">
        <v>35</v>
      </c>
      <c r="T38" s="24" t="s">
        <v>36</v>
      </c>
      <c r="U38" s="11" t="str">
        <f t="shared" si="3"/>
        <v>Sunday</v>
      </c>
      <c r="W38" s="11" t="str">
        <f t="shared" si="4"/>
        <v>Handicap</v>
      </c>
    </row>
    <row r="39">
      <c r="A39" s="7">
        <v>38.0</v>
      </c>
      <c r="B39" s="20">
        <v>45571.0</v>
      </c>
      <c r="C39" s="7">
        <v>7.0</v>
      </c>
      <c r="D39" s="7" t="s">
        <v>53</v>
      </c>
      <c r="E39" s="7">
        <v>3.0</v>
      </c>
      <c r="F39" s="7" t="s">
        <v>32</v>
      </c>
      <c r="G39" s="7">
        <v>2.0</v>
      </c>
      <c r="H39" s="11" t="s">
        <v>55</v>
      </c>
      <c r="I39" s="7" t="s">
        <v>56</v>
      </c>
      <c r="J39" s="21" t="s">
        <v>53</v>
      </c>
      <c r="K39" s="21">
        <v>1.66</v>
      </c>
      <c r="L39" s="4">
        <v>2.0</v>
      </c>
      <c r="M39" s="7" t="s">
        <v>44</v>
      </c>
      <c r="N39" s="22">
        <v>0.0</v>
      </c>
      <c r="O39" s="22">
        <f t="shared" si="6"/>
        <v>-2</v>
      </c>
      <c r="P39" s="23">
        <f t="shared" si="5"/>
        <v>292.74</v>
      </c>
      <c r="Q39" s="23">
        <f t="shared" si="1"/>
        <v>-7.27</v>
      </c>
      <c r="R39" s="9">
        <f t="shared" si="2"/>
        <v>-0.0242</v>
      </c>
      <c r="S39" s="24" t="s">
        <v>35</v>
      </c>
      <c r="T39" s="24" t="s">
        <v>36</v>
      </c>
      <c r="U39" s="11" t="str">
        <f t="shared" si="3"/>
        <v>Sunday</v>
      </c>
      <c r="W39" s="11" t="str">
        <f t="shared" si="4"/>
        <v>Handicap</v>
      </c>
    </row>
    <row r="40">
      <c r="A40" s="7">
        <v>39.0</v>
      </c>
      <c r="B40" s="20">
        <v>45572.0</v>
      </c>
      <c r="C40" s="7">
        <v>7.0</v>
      </c>
      <c r="D40" s="7" t="s">
        <v>42</v>
      </c>
      <c r="E40" s="7">
        <v>0.0</v>
      </c>
      <c r="F40" s="7" t="s">
        <v>31</v>
      </c>
      <c r="G40" s="7">
        <v>0.0</v>
      </c>
      <c r="H40" s="11" t="s">
        <v>55</v>
      </c>
      <c r="I40" s="7" t="s">
        <v>89</v>
      </c>
      <c r="J40" s="21" t="s">
        <v>42</v>
      </c>
      <c r="K40" s="21">
        <v>1.4</v>
      </c>
      <c r="L40" s="4">
        <v>2.0</v>
      </c>
      <c r="M40" s="7" t="s">
        <v>34</v>
      </c>
      <c r="N40" s="22">
        <v>2.8</v>
      </c>
      <c r="O40" s="22">
        <f t="shared" si="6"/>
        <v>0.8</v>
      </c>
      <c r="P40" s="23">
        <f t="shared" si="5"/>
        <v>293.54</v>
      </c>
      <c r="Q40" s="23">
        <f t="shared" si="1"/>
        <v>-6.47</v>
      </c>
      <c r="R40" s="9">
        <f t="shared" si="2"/>
        <v>-0.02153333333</v>
      </c>
      <c r="S40" s="24" t="s">
        <v>35</v>
      </c>
      <c r="T40" s="24" t="s">
        <v>36</v>
      </c>
      <c r="U40" s="11" t="str">
        <f t="shared" si="3"/>
        <v>Monday</v>
      </c>
      <c r="W40" s="11" t="str">
        <f t="shared" si="4"/>
        <v>Handicap</v>
      </c>
    </row>
    <row r="41">
      <c r="A41" s="7">
        <v>40.0</v>
      </c>
      <c r="B41" s="20">
        <v>45572.0</v>
      </c>
      <c r="C41" s="7">
        <v>7.0</v>
      </c>
      <c r="D41" s="7" t="s">
        <v>69</v>
      </c>
      <c r="E41" s="7">
        <v>1.0</v>
      </c>
      <c r="F41" s="7" t="s">
        <v>78</v>
      </c>
      <c r="G41" s="7">
        <v>1.0</v>
      </c>
      <c r="H41" s="11" t="s">
        <v>33</v>
      </c>
      <c r="I41" s="7" t="s">
        <v>69</v>
      </c>
      <c r="J41" s="21" t="s">
        <v>69</v>
      </c>
      <c r="K41" s="21">
        <v>1.48</v>
      </c>
      <c r="L41" s="4">
        <v>2.0</v>
      </c>
      <c r="M41" s="7" t="s">
        <v>44</v>
      </c>
      <c r="N41" s="22">
        <v>0.0</v>
      </c>
      <c r="O41" s="22">
        <f t="shared" si="6"/>
        <v>-2</v>
      </c>
      <c r="P41" s="23">
        <f t="shared" si="5"/>
        <v>291.54</v>
      </c>
      <c r="Q41" s="23">
        <f t="shared" si="1"/>
        <v>-8.47</v>
      </c>
      <c r="R41" s="9">
        <f t="shared" si="2"/>
        <v>-0.0282</v>
      </c>
      <c r="S41" s="24" t="s">
        <v>35</v>
      </c>
      <c r="T41" s="24" t="s">
        <v>36</v>
      </c>
      <c r="U41" s="11" t="str">
        <f t="shared" si="3"/>
        <v>Monday</v>
      </c>
      <c r="W41" s="11" t="str">
        <f t="shared" si="4"/>
        <v>Full Time Result</v>
      </c>
    </row>
    <row r="42">
      <c r="A42" s="7">
        <v>41.0</v>
      </c>
      <c r="B42" s="20">
        <v>45572.0</v>
      </c>
      <c r="C42" s="7">
        <v>7.0</v>
      </c>
      <c r="D42" s="7" t="s">
        <v>51</v>
      </c>
      <c r="E42" s="7">
        <v>3.0</v>
      </c>
      <c r="F42" s="7" t="s">
        <v>50</v>
      </c>
      <c r="G42" s="7">
        <v>2.0</v>
      </c>
      <c r="H42" s="11" t="s">
        <v>82</v>
      </c>
      <c r="I42" s="7" t="s">
        <v>83</v>
      </c>
      <c r="J42" s="21" t="s">
        <v>70</v>
      </c>
      <c r="K42" s="21">
        <v>1.36</v>
      </c>
      <c r="L42" s="4">
        <v>2.0</v>
      </c>
      <c r="M42" s="7" t="s">
        <v>34</v>
      </c>
      <c r="N42" s="22">
        <v>2.73</v>
      </c>
      <c r="O42" s="22">
        <f t="shared" si="6"/>
        <v>0.73</v>
      </c>
      <c r="P42" s="23">
        <f t="shared" si="5"/>
        <v>292.27</v>
      </c>
      <c r="Q42" s="23">
        <f t="shared" si="1"/>
        <v>-7.74</v>
      </c>
      <c r="R42" s="9">
        <f t="shared" si="2"/>
        <v>-0.02576666667</v>
      </c>
      <c r="S42" s="24" t="s">
        <v>35</v>
      </c>
      <c r="T42" s="24" t="s">
        <v>36</v>
      </c>
      <c r="U42" s="11" t="str">
        <f t="shared" si="3"/>
        <v>Monday</v>
      </c>
      <c r="W42" s="11" t="str">
        <f t="shared" si="4"/>
        <v>BTTS</v>
      </c>
    </row>
    <row r="43">
      <c r="A43" s="7">
        <v>42.0</v>
      </c>
      <c r="B43" s="20">
        <v>45576.0</v>
      </c>
      <c r="C43" s="7" t="s">
        <v>73</v>
      </c>
      <c r="D43" s="7" t="s">
        <v>75</v>
      </c>
      <c r="E43" s="7">
        <v>3.0</v>
      </c>
      <c r="F43" s="7" t="s">
        <v>90</v>
      </c>
      <c r="G43" s="7">
        <v>0.0</v>
      </c>
      <c r="H43" s="11" t="s">
        <v>55</v>
      </c>
      <c r="I43" s="7" t="s">
        <v>91</v>
      </c>
      <c r="J43" s="21" t="s">
        <v>75</v>
      </c>
      <c r="K43" s="21">
        <v>1.36</v>
      </c>
      <c r="L43" s="4">
        <v>2.0</v>
      </c>
      <c r="M43" s="7" t="s">
        <v>34</v>
      </c>
      <c r="N43" s="22">
        <v>2.73</v>
      </c>
      <c r="O43" s="22">
        <f t="shared" si="6"/>
        <v>0.73</v>
      </c>
      <c r="P43" s="23">
        <f t="shared" si="5"/>
        <v>293</v>
      </c>
      <c r="Q43" s="23">
        <f t="shared" si="1"/>
        <v>-7.01</v>
      </c>
      <c r="R43" s="9">
        <f t="shared" si="2"/>
        <v>-0.02333333333</v>
      </c>
      <c r="S43" s="24" t="s">
        <v>77</v>
      </c>
      <c r="T43" s="24" t="s">
        <v>36</v>
      </c>
      <c r="U43" s="11" t="str">
        <f t="shared" si="3"/>
        <v>Friday</v>
      </c>
      <c r="W43" s="11" t="str">
        <f t="shared" si="4"/>
        <v>Handicap</v>
      </c>
    </row>
    <row r="44">
      <c r="A44" s="7">
        <v>43.0</v>
      </c>
      <c r="B44" s="20">
        <v>45576.0</v>
      </c>
      <c r="C44" s="7" t="s">
        <v>73</v>
      </c>
      <c r="D44" s="7" t="s">
        <v>75</v>
      </c>
      <c r="E44" s="7">
        <v>3.0</v>
      </c>
      <c r="F44" s="7" t="s">
        <v>90</v>
      </c>
      <c r="G44" s="7">
        <v>0.0</v>
      </c>
      <c r="H44" s="11" t="s">
        <v>55</v>
      </c>
      <c r="I44" s="7" t="s">
        <v>92</v>
      </c>
      <c r="J44" s="21" t="s">
        <v>75</v>
      </c>
      <c r="K44" s="21">
        <v>2.75</v>
      </c>
      <c r="L44" s="4">
        <v>1.0</v>
      </c>
      <c r="M44" s="7" t="s">
        <v>44</v>
      </c>
      <c r="N44" s="22">
        <v>0.0</v>
      </c>
      <c r="O44" s="22">
        <f t="shared" si="6"/>
        <v>-1</v>
      </c>
      <c r="P44" s="23">
        <f t="shared" si="5"/>
        <v>292</v>
      </c>
      <c r="Q44" s="23">
        <f t="shared" si="1"/>
        <v>-8.01</v>
      </c>
      <c r="R44" s="9">
        <f t="shared" si="2"/>
        <v>-0.02666666667</v>
      </c>
      <c r="S44" s="24" t="s">
        <v>77</v>
      </c>
      <c r="T44" s="24" t="s">
        <v>36</v>
      </c>
      <c r="U44" s="11" t="str">
        <f t="shared" si="3"/>
        <v>Friday</v>
      </c>
      <c r="W44" s="11" t="str">
        <f t="shared" si="4"/>
        <v>Handicap</v>
      </c>
    </row>
    <row r="45">
      <c r="A45" s="7">
        <v>44.0</v>
      </c>
      <c r="B45" s="20">
        <v>45579.0</v>
      </c>
      <c r="C45" s="7" t="s">
        <v>73</v>
      </c>
      <c r="D45" s="7" t="s">
        <v>75</v>
      </c>
      <c r="E45" s="7">
        <v>3.0</v>
      </c>
      <c r="F45" s="7" t="s">
        <v>93</v>
      </c>
      <c r="G45" s="7">
        <v>0.0</v>
      </c>
      <c r="H45" s="11" t="s">
        <v>33</v>
      </c>
      <c r="I45" s="7" t="s">
        <v>75</v>
      </c>
      <c r="J45" s="21" t="s">
        <v>75</v>
      </c>
      <c r="K45" s="21">
        <v>1.42</v>
      </c>
      <c r="L45" s="4">
        <v>2.0</v>
      </c>
      <c r="M45" s="7" t="s">
        <v>34</v>
      </c>
      <c r="N45" s="22">
        <v>2.84</v>
      </c>
      <c r="O45" s="22">
        <f t="shared" si="6"/>
        <v>0.84</v>
      </c>
      <c r="P45" s="23">
        <f t="shared" si="5"/>
        <v>292.84</v>
      </c>
      <c r="Q45" s="23">
        <f t="shared" si="1"/>
        <v>-7.17</v>
      </c>
      <c r="R45" s="9">
        <f t="shared" si="2"/>
        <v>-0.02386666667</v>
      </c>
      <c r="S45" s="24" t="s">
        <v>77</v>
      </c>
      <c r="T45" s="24" t="s">
        <v>36</v>
      </c>
      <c r="U45" s="11" t="str">
        <f t="shared" si="3"/>
        <v>Monday</v>
      </c>
      <c r="W45" s="11" t="str">
        <f t="shared" si="4"/>
        <v>Full Time Result</v>
      </c>
    </row>
    <row r="46">
      <c r="A46" s="7">
        <v>45.0</v>
      </c>
      <c r="B46" s="20">
        <v>45585.0</v>
      </c>
      <c r="C46" s="7">
        <v>8.0</v>
      </c>
      <c r="D46" s="7" t="s">
        <v>32</v>
      </c>
      <c r="E46" s="7">
        <v>1.0</v>
      </c>
      <c r="F46" s="7" t="s">
        <v>42</v>
      </c>
      <c r="G46" s="7">
        <v>3.0</v>
      </c>
      <c r="H46" s="11" t="s">
        <v>82</v>
      </c>
      <c r="I46" s="7" t="s">
        <v>83</v>
      </c>
      <c r="J46" s="21" t="s">
        <v>70</v>
      </c>
      <c r="K46" s="21">
        <v>1.61</v>
      </c>
      <c r="L46" s="4">
        <v>2.0</v>
      </c>
      <c r="M46" s="7" t="s">
        <v>34</v>
      </c>
      <c r="N46" s="22">
        <v>3.24</v>
      </c>
      <c r="O46" s="22">
        <f t="shared" si="6"/>
        <v>1.24</v>
      </c>
      <c r="P46" s="23">
        <f t="shared" si="5"/>
        <v>294.08</v>
      </c>
      <c r="Q46" s="23">
        <f t="shared" si="1"/>
        <v>-5.93</v>
      </c>
      <c r="R46" s="9">
        <f t="shared" si="2"/>
        <v>-0.01973333333</v>
      </c>
      <c r="S46" s="24" t="s">
        <v>35</v>
      </c>
      <c r="T46" s="24" t="s">
        <v>36</v>
      </c>
      <c r="U46" s="11" t="str">
        <f t="shared" si="3"/>
        <v>Sunday</v>
      </c>
      <c r="W46" s="11" t="str">
        <f t="shared" si="4"/>
        <v>BTTS</v>
      </c>
    </row>
    <row r="47">
      <c r="A47" s="7">
        <v>46.0</v>
      </c>
      <c r="B47" s="20">
        <v>45585.0</v>
      </c>
      <c r="C47" s="7">
        <v>8.0</v>
      </c>
      <c r="D47" s="7" t="s">
        <v>31</v>
      </c>
      <c r="E47" s="7">
        <v>2.0</v>
      </c>
      <c r="F47" s="7" t="s">
        <v>45</v>
      </c>
      <c r="G47" s="7">
        <v>1.0</v>
      </c>
      <c r="H47" s="11" t="s">
        <v>55</v>
      </c>
      <c r="I47" s="7" t="s">
        <v>94</v>
      </c>
      <c r="J47" s="21" t="s">
        <v>45</v>
      </c>
      <c r="K47" s="21">
        <v>1.44</v>
      </c>
      <c r="L47" s="4">
        <v>2.0</v>
      </c>
      <c r="M47" s="7" t="s">
        <v>34</v>
      </c>
      <c r="N47" s="22">
        <v>2.89</v>
      </c>
      <c r="O47" s="22">
        <f t="shared" si="6"/>
        <v>0.89</v>
      </c>
      <c r="P47" s="23">
        <f t="shared" si="5"/>
        <v>294.97</v>
      </c>
      <c r="Q47" s="23">
        <f t="shared" si="1"/>
        <v>-5.04</v>
      </c>
      <c r="R47" s="9">
        <f t="shared" si="2"/>
        <v>-0.01676666667</v>
      </c>
      <c r="S47" s="24" t="s">
        <v>35</v>
      </c>
      <c r="T47" s="24" t="s">
        <v>36</v>
      </c>
      <c r="U47" s="11" t="str">
        <f t="shared" si="3"/>
        <v>Sunday</v>
      </c>
      <c r="W47" s="11" t="str">
        <f t="shared" si="4"/>
        <v>Handicap</v>
      </c>
    </row>
    <row r="48">
      <c r="A48" s="7">
        <v>47.0</v>
      </c>
      <c r="B48" s="20">
        <v>45585.0</v>
      </c>
      <c r="C48" s="7">
        <v>8.0</v>
      </c>
      <c r="D48" s="7" t="s">
        <v>58</v>
      </c>
      <c r="E48" s="7">
        <v>2.0</v>
      </c>
      <c r="F48" s="7" t="s">
        <v>37</v>
      </c>
      <c r="G48" s="7">
        <v>0.0</v>
      </c>
      <c r="H48" s="11" t="s">
        <v>33</v>
      </c>
      <c r="I48" s="7" t="s">
        <v>37</v>
      </c>
      <c r="J48" s="21" t="s">
        <v>37</v>
      </c>
      <c r="K48" s="21">
        <v>1.66</v>
      </c>
      <c r="L48" s="4">
        <v>2.0</v>
      </c>
      <c r="M48" s="7" t="s">
        <v>44</v>
      </c>
      <c r="N48" s="22">
        <v>0.0</v>
      </c>
      <c r="O48" s="22">
        <f t="shared" si="6"/>
        <v>-2</v>
      </c>
      <c r="P48" s="23">
        <f t="shared" si="5"/>
        <v>292.97</v>
      </c>
      <c r="Q48" s="23">
        <f t="shared" si="1"/>
        <v>-7.04</v>
      </c>
      <c r="R48" s="9">
        <f t="shared" si="2"/>
        <v>-0.02343333333</v>
      </c>
      <c r="S48" s="24" t="s">
        <v>35</v>
      </c>
      <c r="T48" s="24" t="s">
        <v>36</v>
      </c>
      <c r="U48" s="11" t="str">
        <f t="shared" si="3"/>
        <v>Sunday</v>
      </c>
      <c r="W48" s="11" t="str">
        <f t="shared" si="4"/>
        <v>Full Time Result</v>
      </c>
    </row>
    <row r="49">
      <c r="A49" s="7">
        <v>48.0</v>
      </c>
      <c r="B49" s="20">
        <v>45585.0</v>
      </c>
      <c r="C49" s="7">
        <v>8.0</v>
      </c>
      <c r="D49" s="7" t="s">
        <v>38</v>
      </c>
      <c r="E49" s="7">
        <v>1.0</v>
      </c>
      <c r="F49" s="7" t="s">
        <v>53</v>
      </c>
      <c r="G49" s="7">
        <v>2.0</v>
      </c>
      <c r="H49" s="11" t="s">
        <v>33</v>
      </c>
      <c r="I49" s="7" t="s">
        <v>53</v>
      </c>
      <c r="J49" s="21" t="s">
        <v>53</v>
      </c>
      <c r="K49" s="21">
        <v>1.33</v>
      </c>
      <c r="L49" s="4">
        <v>4.0</v>
      </c>
      <c r="M49" s="7" t="s">
        <v>34</v>
      </c>
      <c r="N49" s="22">
        <v>5.34</v>
      </c>
      <c r="O49" s="22">
        <f t="shared" si="6"/>
        <v>1.34</v>
      </c>
      <c r="P49" s="23">
        <f t="shared" si="5"/>
        <v>294.31</v>
      </c>
      <c r="Q49" s="23">
        <f t="shared" si="1"/>
        <v>-5.7</v>
      </c>
      <c r="R49" s="9">
        <f t="shared" si="2"/>
        <v>-0.01896666667</v>
      </c>
      <c r="S49" s="24" t="s">
        <v>35</v>
      </c>
      <c r="T49" s="24" t="s">
        <v>36</v>
      </c>
      <c r="U49" s="11" t="str">
        <f t="shared" si="3"/>
        <v>Sunday</v>
      </c>
      <c r="W49" s="11" t="str">
        <f t="shared" si="4"/>
        <v>Full Time Result</v>
      </c>
    </row>
    <row r="50">
      <c r="A50" s="7">
        <v>49.0</v>
      </c>
      <c r="B50" s="20">
        <v>45592.0</v>
      </c>
      <c r="C50" s="7">
        <v>9.0</v>
      </c>
      <c r="D50" s="7" t="s">
        <v>42</v>
      </c>
      <c r="E50" s="7">
        <v>1.0</v>
      </c>
      <c r="F50" s="7" t="s">
        <v>58</v>
      </c>
      <c r="G50" s="7">
        <v>1.0</v>
      </c>
      <c r="H50" s="11" t="s">
        <v>52</v>
      </c>
      <c r="I50" s="7" t="s">
        <v>87</v>
      </c>
      <c r="J50" s="21" t="s">
        <v>42</v>
      </c>
      <c r="K50" s="21">
        <v>1.44</v>
      </c>
      <c r="L50" s="4">
        <v>1.5</v>
      </c>
      <c r="M50" s="7" t="s">
        <v>95</v>
      </c>
      <c r="N50" s="22">
        <v>1.5</v>
      </c>
      <c r="O50" s="22">
        <f t="shared" si="6"/>
        <v>0</v>
      </c>
      <c r="P50" s="23">
        <f t="shared" si="5"/>
        <v>294.31</v>
      </c>
      <c r="Q50" s="23">
        <f t="shared" si="1"/>
        <v>-5.7</v>
      </c>
      <c r="R50" s="9">
        <f t="shared" si="2"/>
        <v>-0.01896666667</v>
      </c>
      <c r="S50" s="24" t="s">
        <v>35</v>
      </c>
      <c r="T50" s="24" t="s">
        <v>36</v>
      </c>
      <c r="U50" s="11" t="str">
        <f t="shared" si="3"/>
        <v>Sunday</v>
      </c>
      <c r="W50" s="11" t="str">
        <f t="shared" si="4"/>
        <v>Draw No Bet</v>
      </c>
    </row>
    <row r="51">
      <c r="A51" s="7">
        <v>50.0</v>
      </c>
      <c r="B51" s="20">
        <v>45592.0</v>
      </c>
      <c r="C51" s="7">
        <v>9.0</v>
      </c>
      <c r="D51" s="7" t="s">
        <v>45</v>
      </c>
      <c r="E51" s="7">
        <v>4.0</v>
      </c>
      <c r="F51" s="7" t="s">
        <v>54</v>
      </c>
      <c r="G51" s="7">
        <v>3.0</v>
      </c>
      <c r="H51" s="11" t="s">
        <v>55</v>
      </c>
      <c r="I51" s="7" t="s">
        <v>96</v>
      </c>
      <c r="J51" s="21" t="s">
        <v>45</v>
      </c>
      <c r="K51" s="21">
        <v>1.22</v>
      </c>
      <c r="L51" s="4">
        <v>1.5</v>
      </c>
      <c r="M51" s="7" t="s">
        <v>34</v>
      </c>
      <c r="N51" s="22">
        <v>1.84</v>
      </c>
      <c r="O51" s="22">
        <f t="shared" si="6"/>
        <v>0.34</v>
      </c>
      <c r="P51" s="23">
        <f t="shared" si="5"/>
        <v>294.65</v>
      </c>
      <c r="Q51" s="23">
        <f t="shared" si="1"/>
        <v>-5.36</v>
      </c>
      <c r="R51" s="9">
        <f t="shared" si="2"/>
        <v>-0.01783333333</v>
      </c>
      <c r="S51" s="24" t="s">
        <v>35</v>
      </c>
      <c r="T51" s="24" t="s">
        <v>36</v>
      </c>
      <c r="U51" s="11" t="str">
        <f t="shared" si="3"/>
        <v>Sunday</v>
      </c>
      <c r="W51" s="11" t="str">
        <f t="shared" si="4"/>
        <v>Handicap</v>
      </c>
    </row>
    <row r="52">
      <c r="A52" s="7">
        <v>51.0</v>
      </c>
      <c r="B52" s="20">
        <v>45592.0</v>
      </c>
      <c r="C52" s="7">
        <v>9.0</v>
      </c>
      <c r="D52" s="7" t="s">
        <v>51</v>
      </c>
      <c r="E52" s="7">
        <v>2.0</v>
      </c>
      <c r="F52" s="7" t="s">
        <v>38</v>
      </c>
      <c r="G52" s="7">
        <v>2.0</v>
      </c>
      <c r="H52" s="11" t="s">
        <v>33</v>
      </c>
      <c r="I52" s="7" t="s">
        <v>51</v>
      </c>
      <c r="J52" s="21" t="s">
        <v>51</v>
      </c>
      <c r="K52" s="21">
        <v>1.6</v>
      </c>
      <c r="L52" s="4">
        <v>1.5</v>
      </c>
      <c r="M52" s="7" t="s">
        <v>34</v>
      </c>
      <c r="N52" s="22">
        <v>2.4</v>
      </c>
      <c r="O52" s="22">
        <f t="shared" si="6"/>
        <v>0.9</v>
      </c>
      <c r="P52" s="23">
        <f t="shared" si="5"/>
        <v>295.55</v>
      </c>
      <c r="Q52" s="23">
        <f t="shared" si="1"/>
        <v>-4.46</v>
      </c>
      <c r="R52" s="9">
        <f t="shared" si="2"/>
        <v>-0.01483333333</v>
      </c>
      <c r="S52" s="24" t="s">
        <v>35</v>
      </c>
      <c r="T52" s="24" t="s">
        <v>36</v>
      </c>
      <c r="U52" s="11" t="str">
        <f t="shared" si="3"/>
        <v>Sunday</v>
      </c>
      <c r="W52" s="11" t="str">
        <f t="shared" si="4"/>
        <v>Full Time Result</v>
      </c>
    </row>
    <row r="53">
      <c r="A53" s="7">
        <v>52.0</v>
      </c>
      <c r="B53" s="20">
        <v>45592.0</v>
      </c>
      <c r="C53" s="7">
        <v>9.0</v>
      </c>
      <c r="D53" s="7" t="s">
        <v>53</v>
      </c>
      <c r="E53" s="7">
        <v>1.0</v>
      </c>
      <c r="F53" s="7" t="s">
        <v>88</v>
      </c>
      <c r="G53" s="7">
        <v>0.0</v>
      </c>
      <c r="H53" s="11" t="s">
        <v>55</v>
      </c>
      <c r="I53" s="7" t="s">
        <v>97</v>
      </c>
      <c r="J53" s="21" t="s">
        <v>88</v>
      </c>
      <c r="K53" s="21">
        <v>1.36</v>
      </c>
      <c r="L53" s="4">
        <v>1.5</v>
      </c>
      <c r="M53" s="7" t="s">
        <v>34</v>
      </c>
      <c r="N53" s="22">
        <v>2.05</v>
      </c>
      <c r="O53" s="22">
        <f t="shared" si="6"/>
        <v>0.55</v>
      </c>
      <c r="P53" s="23">
        <f t="shared" si="5"/>
        <v>296.1</v>
      </c>
      <c r="Q53" s="23">
        <f t="shared" si="1"/>
        <v>-3.91</v>
      </c>
      <c r="R53" s="9">
        <f t="shared" si="2"/>
        <v>-0.013</v>
      </c>
      <c r="S53" s="24" t="s">
        <v>35</v>
      </c>
      <c r="T53" s="24" t="s">
        <v>36</v>
      </c>
      <c r="U53" s="11" t="str">
        <f t="shared" si="3"/>
        <v>Sunday</v>
      </c>
      <c r="W53" s="11" t="str">
        <f t="shared" si="4"/>
        <v>Handicap</v>
      </c>
    </row>
    <row r="54">
      <c r="A54" s="7">
        <v>53.0</v>
      </c>
      <c r="B54" s="20">
        <v>45592.0</v>
      </c>
      <c r="C54" s="7">
        <v>9.0</v>
      </c>
      <c r="D54" s="7" t="s">
        <v>53</v>
      </c>
      <c r="E54" s="7">
        <v>1.0</v>
      </c>
      <c r="F54" s="7" t="s">
        <v>88</v>
      </c>
      <c r="G54" s="7">
        <v>0.0</v>
      </c>
      <c r="H54" s="11" t="s">
        <v>55</v>
      </c>
      <c r="I54" s="7" t="s">
        <v>56</v>
      </c>
      <c r="J54" s="21" t="s">
        <v>53</v>
      </c>
      <c r="K54" s="21">
        <v>1.36</v>
      </c>
      <c r="L54" s="4">
        <v>1.5</v>
      </c>
      <c r="M54" s="7" t="s">
        <v>44</v>
      </c>
      <c r="N54" s="22">
        <v>0.0</v>
      </c>
      <c r="O54" s="22">
        <f t="shared" si="6"/>
        <v>-1.5</v>
      </c>
      <c r="P54" s="23">
        <f t="shared" si="5"/>
        <v>294.6</v>
      </c>
      <c r="Q54" s="23">
        <f t="shared" si="1"/>
        <v>-5.41</v>
      </c>
      <c r="R54" s="9">
        <f t="shared" si="2"/>
        <v>-0.018</v>
      </c>
      <c r="S54" s="24" t="s">
        <v>35</v>
      </c>
      <c r="T54" s="24" t="s">
        <v>36</v>
      </c>
      <c r="U54" s="11" t="str">
        <f t="shared" si="3"/>
        <v>Sunday</v>
      </c>
      <c r="W54" s="11" t="str">
        <f t="shared" si="4"/>
        <v>Handicap</v>
      </c>
    </row>
    <row r="55">
      <c r="A55" s="7">
        <v>54.0</v>
      </c>
      <c r="B55" s="20">
        <v>45593.0</v>
      </c>
      <c r="C55" s="7">
        <v>9.0</v>
      </c>
      <c r="D55" s="7" t="s">
        <v>69</v>
      </c>
      <c r="E55" s="7">
        <v>2.0</v>
      </c>
      <c r="F55" s="7" t="s">
        <v>59</v>
      </c>
      <c r="G55" s="7">
        <v>1.0</v>
      </c>
      <c r="H55" s="11" t="s">
        <v>33</v>
      </c>
      <c r="I55" s="7" t="s">
        <v>98</v>
      </c>
      <c r="J55" s="21" t="s">
        <v>69</v>
      </c>
      <c r="K55" s="21">
        <v>1.8</v>
      </c>
      <c r="L55" s="4">
        <v>1.0</v>
      </c>
      <c r="M55" s="7" t="s">
        <v>34</v>
      </c>
      <c r="N55" s="22">
        <v>1.8</v>
      </c>
      <c r="O55" s="22">
        <f t="shared" si="6"/>
        <v>0.8</v>
      </c>
      <c r="P55" s="23">
        <f t="shared" si="5"/>
        <v>295.4</v>
      </c>
      <c r="Q55" s="23">
        <f t="shared" si="1"/>
        <v>-4.61</v>
      </c>
      <c r="R55" s="9">
        <f t="shared" si="2"/>
        <v>-0.01533333333</v>
      </c>
      <c r="S55" s="24" t="s">
        <v>35</v>
      </c>
      <c r="T55" s="24" t="s">
        <v>36</v>
      </c>
      <c r="U55" s="11" t="str">
        <f t="shared" si="3"/>
        <v>Monday</v>
      </c>
      <c r="W55" s="11" t="str">
        <f t="shared" si="4"/>
        <v>Full Time Result</v>
      </c>
    </row>
    <row r="56">
      <c r="A56" s="7">
        <v>55.0</v>
      </c>
      <c r="B56" s="20">
        <v>45593.0</v>
      </c>
      <c r="C56" s="7">
        <v>9.0</v>
      </c>
      <c r="D56" s="7" t="s">
        <v>37</v>
      </c>
      <c r="E56" s="7">
        <v>2.0</v>
      </c>
      <c r="F56" s="7" t="s">
        <v>61</v>
      </c>
      <c r="G56" s="7">
        <v>2.0</v>
      </c>
      <c r="H56" s="11" t="s">
        <v>52</v>
      </c>
      <c r="I56" s="7" t="s">
        <v>37</v>
      </c>
      <c r="J56" s="21" t="s">
        <v>37</v>
      </c>
      <c r="K56" s="21">
        <v>1.72</v>
      </c>
      <c r="L56" s="4">
        <v>1.5</v>
      </c>
      <c r="M56" s="7" t="s">
        <v>95</v>
      </c>
      <c r="N56" s="22">
        <v>1.5</v>
      </c>
      <c r="O56" s="22">
        <f t="shared" si="6"/>
        <v>0</v>
      </c>
      <c r="P56" s="23">
        <f t="shared" si="5"/>
        <v>295.4</v>
      </c>
      <c r="Q56" s="23">
        <f t="shared" si="1"/>
        <v>-4.61</v>
      </c>
      <c r="R56" s="9">
        <f t="shared" si="2"/>
        <v>-0.01533333333</v>
      </c>
      <c r="S56" s="24" t="s">
        <v>35</v>
      </c>
      <c r="T56" s="24" t="s">
        <v>36</v>
      </c>
      <c r="U56" s="11" t="str">
        <f t="shared" si="3"/>
        <v>Monday</v>
      </c>
      <c r="W56" s="11" t="str">
        <f t="shared" si="4"/>
        <v>Draw No Bet</v>
      </c>
    </row>
    <row r="57">
      <c r="A57" s="7">
        <v>56.0</v>
      </c>
      <c r="B57" s="20">
        <v>45598.0</v>
      </c>
      <c r="C57" s="7">
        <v>10.0</v>
      </c>
      <c r="D57" s="7" t="s">
        <v>59</v>
      </c>
      <c r="E57" s="7">
        <v>1.0</v>
      </c>
      <c r="F57" s="7" t="s">
        <v>37</v>
      </c>
      <c r="G57" s="7">
        <v>0.0</v>
      </c>
      <c r="H57" s="11" t="s">
        <v>52</v>
      </c>
      <c r="I57" s="7" t="s">
        <v>37</v>
      </c>
      <c r="J57" s="21" t="s">
        <v>37</v>
      </c>
      <c r="K57" s="21">
        <v>1.44</v>
      </c>
      <c r="L57" s="4">
        <v>1.5</v>
      </c>
      <c r="M57" s="7" t="s">
        <v>44</v>
      </c>
      <c r="N57" s="22">
        <v>0.0</v>
      </c>
      <c r="O57" s="22">
        <f t="shared" si="6"/>
        <v>-1.5</v>
      </c>
      <c r="P57" s="23">
        <f t="shared" si="5"/>
        <v>293.9</v>
      </c>
      <c r="Q57" s="23">
        <f t="shared" si="1"/>
        <v>-6.11</v>
      </c>
      <c r="R57" s="9">
        <f t="shared" si="2"/>
        <v>-0.02033333333</v>
      </c>
      <c r="S57" s="24" t="s">
        <v>35</v>
      </c>
      <c r="T57" s="24" t="s">
        <v>36</v>
      </c>
      <c r="U57" s="11" t="str">
        <f t="shared" si="3"/>
        <v>Saturday</v>
      </c>
      <c r="W57" s="11" t="str">
        <f t="shared" si="4"/>
        <v>Draw No Bet</v>
      </c>
    </row>
    <row r="58">
      <c r="A58" s="7">
        <v>57.0</v>
      </c>
      <c r="B58" s="20">
        <v>45598.0</v>
      </c>
      <c r="C58" s="7">
        <v>10.0</v>
      </c>
      <c r="D58" s="7" t="s">
        <v>61</v>
      </c>
      <c r="E58" s="7">
        <v>2.0</v>
      </c>
      <c r="F58" s="7" t="s">
        <v>51</v>
      </c>
      <c r="G58" s="7">
        <v>1.0</v>
      </c>
      <c r="H58" s="11" t="s">
        <v>33</v>
      </c>
      <c r="I58" s="7" t="s">
        <v>86</v>
      </c>
      <c r="J58" s="21" t="s">
        <v>61</v>
      </c>
      <c r="K58" s="21">
        <v>1.42</v>
      </c>
      <c r="L58" s="4">
        <v>1.5</v>
      </c>
      <c r="M58" s="7" t="s">
        <v>34</v>
      </c>
      <c r="N58" s="22">
        <v>2.13</v>
      </c>
      <c r="O58" s="22">
        <f t="shared" si="6"/>
        <v>0.63</v>
      </c>
      <c r="P58" s="23">
        <f t="shared" si="5"/>
        <v>294.53</v>
      </c>
      <c r="Q58" s="23">
        <f t="shared" si="1"/>
        <v>-5.48</v>
      </c>
      <c r="R58" s="9">
        <f t="shared" si="2"/>
        <v>-0.01823333333</v>
      </c>
      <c r="S58" s="24" t="s">
        <v>35</v>
      </c>
      <c r="T58" s="24" t="s">
        <v>36</v>
      </c>
      <c r="U58" s="11" t="str">
        <f t="shared" si="3"/>
        <v>Saturday</v>
      </c>
      <c r="W58" s="11" t="str">
        <f t="shared" si="4"/>
        <v>Full Time Result</v>
      </c>
    </row>
    <row r="59">
      <c r="A59" s="7">
        <v>58.0</v>
      </c>
      <c r="B59" s="20">
        <v>45598.0</v>
      </c>
      <c r="C59" s="7">
        <v>10.0</v>
      </c>
      <c r="D59" s="7" t="s">
        <v>58</v>
      </c>
      <c r="E59" s="7">
        <v>2.0</v>
      </c>
      <c r="F59" s="7" t="s">
        <v>53</v>
      </c>
      <c r="G59" s="7">
        <v>1.0</v>
      </c>
      <c r="H59" s="11" t="s">
        <v>33</v>
      </c>
      <c r="I59" s="7" t="s">
        <v>99</v>
      </c>
      <c r="J59" s="21" t="s">
        <v>53</v>
      </c>
      <c r="K59" s="21">
        <v>1.55</v>
      </c>
      <c r="L59" s="4">
        <v>2.0</v>
      </c>
      <c r="M59" s="7" t="s">
        <v>44</v>
      </c>
      <c r="N59" s="22">
        <v>0.0</v>
      </c>
      <c r="O59" s="22">
        <f t="shared" si="6"/>
        <v>-2</v>
      </c>
      <c r="P59" s="23">
        <f t="shared" si="5"/>
        <v>292.53</v>
      </c>
      <c r="Q59" s="23">
        <f t="shared" si="1"/>
        <v>-7.48</v>
      </c>
      <c r="R59" s="9">
        <f t="shared" si="2"/>
        <v>-0.0249</v>
      </c>
      <c r="S59" s="24" t="s">
        <v>35</v>
      </c>
      <c r="T59" s="24" t="s">
        <v>36</v>
      </c>
      <c r="U59" s="11" t="str">
        <f t="shared" si="3"/>
        <v>Saturday</v>
      </c>
      <c r="W59" s="11" t="str">
        <f t="shared" si="4"/>
        <v>Full Time Result</v>
      </c>
    </row>
    <row r="60">
      <c r="A60" s="7">
        <v>59.0</v>
      </c>
      <c r="B60" s="20">
        <v>45598.0</v>
      </c>
      <c r="C60" s="7">
        <v>10.0</v>
      </c>
      <c r="D60" s="7" t="s">
        <v>88</v>
      </c>
      <c r="E60" s="7">
        <v>1.0</v>
      </c>
      <c r="F60" s="7" t="s">
        <v>57</v>
      </c>
      <c r="G60" s="7">
        <v>1.0</v>
      </c>
      <c r="H60" s="11" t="s">
        <v>55</v>
      </c>
      <c r="I60" s="7" t="s">
        <v>84</v>
      </c>
      <c r="J60" s="21" t="s">
        <v>57</v>
      </c>
      <c r="K60" s="21">
        <v>1.5</v>
      </c>
      <c r="L60" s="4">
        <v>1.0</v>
      </c>
      <c r="M60" s="7" t="s">
        <v>44</v>
      </c>
      <c r="N60" s="22">
        <v>0.0</v>
      </c>
      <c r="O60" s="22">
        <f t="shared" si="6"/>
        <v>-1</v>
      </c>
      <c r="P60" s="23">
        <f t="shared" si="5"/>
        <v>291.53</v>
      </c>
      <c r="Q60" s="23">
        <f t="shared" si="1"/>
        <v>-8.48</v>
      </c>
      <c r="R60" s="9">
        <f t="shared" si="2"/>
        <v>-0.02823333333</v>
      </c>
      <c r="S60" s="24" t="s">
        <v>35</v>
      </c>
      <c r="T60" s="24" t="s">
        <v>36</v>
      </c>
      <c r="U60" s="11" t="str">
        <f t="shared" si="3"/>
        <v>Saturday</v>
      </c>
      <c r="W60" s="11" t="str">
        <f t="shared" si="4"/>
        <v>Handicap</v>
      </c>
    </row>
    <row r="61">
      <c r="A61" s="7">
        <v>60.0</v>
      </c>
      <c r="B61" s="20">
        <v>45598.0</v>
      </c>
      <c r="C61" s="7">
        <v>10.0</v>
      </c>
      <c r="D61" s="7" t="s">
        <v>78</v>
      </c>
      <c r="E61" s="7">
        <v>3.0</v>
      </c>
      <c r="F61" s="7" t="s">
        <v>41</v>
      </c>
      <c r="G61" s="7">
        <v>0.0</v>
      </c>
      <c r="H61" s="11" t="s">
        <v>52</v>
      </c>
      <c r="I61" s="7" t="s">
        <v>100</v>
      </c>
      <c r="J61" s="21" t="s">
        <v>78</v>
      </c>
      <c r="K61" s="21">
        <v>1.53</v>
      </c>
      <c r="L61" s="4">
        <v>1.5</v>
      </c>
      <c r="M61" s="7" t="s">
        <v>34</v>
      </c>
      <c r="N61" s="22">
        <v>2.3</v>
      </c>
      <c r="O61" s="22">
        <f t="shared" si="6"/>
        <v>0.8</v>
      </c>
      <c r="P61" s="23">
        <f t="shared" si="5"/>
        <v>292.33</v>
      </c>
      <c r="Q61" s="23">
        <f t="shared" si="1"/>
        <v>-7.68</v>
      </c>
      <c r="R61" s="9">
        <f t="shared" si="2"/>
        <v>-0.02556666667</v>
      </c>
      <c r="S61" s="24" t="s">
        <v>35</v>
      </c>
      <c r="T61" s="24" t="s">
        <v>36</v>
      </c>
      <c r="U61" s="11" t="str">
        <f t="shared" si="3"/>
        <v>Saturday</v>
      </c>
      <c r="W61" s="11" t="str">
        <f t="shared" si="4"/>
        <v>Draw No Bet</v>
      </c>
    </row>
    <row r="62">
      <c r="A62" s="7">
        <v>61.0</v>
      </c>
      <c r="B62" s="20">
        <v>45598.0</v>
      </c>
      <c r="C62" s="7">
        <v>10.0</v>
      </c>
      <c r="D62" s="7" t="s">
        <v>38</v>
      </c>
      <c r="E62" s="7">
        <v>2.0</v>
      </c>
      <c r="F62" s="7" t="s">
        <v>46</v>
      </c>
      <c r="G62" s="7">
        <v>2.0</v>
      </c>
      <c r="H62" s="11" t="s">
        <v>55</v>
      </c>
      <c r="I62" s="7" t="s">
        <v>101</v>
      </c>
      <c r="J62" s="21" t="s">
        <v>46</v>
      </c>
      <c r="K62" s="21">
        <v>1.44</v>
      </c>
      <c r="L62" s="4">
        <v>1.0</v>
      </c>
      <c r="M62" s="7" t="s">
        <v>34</v>
      </c>
      <c r="N62" s="22">
        <v>1.45</v>
      </c>
      <c r="O62" s="22">
        <f t="shared" si="6"/>
        <v>0.45</v>
      </c>
      <c r="P62" s="23">
        <f t="shared" si="5"/>
        <v>292.78</v>
      </c>
      <c r="Q62" s="23">
        <f t="shared" si="1"/>
        <v>-7.23</v>
      </c>
      <c r="R62" s="9">
        <f t="shared" si="2"/>
        <v>-0.02406666667</v>
      </c>
      <c r="S62" s="24" t="s">
        <v>35</v>
      </c>
      <c r="T62" s="24" t="s">
        <v>36</v>
      </c>
      <c r="U62" s="11" t="str">
        <f t="shared" si="3"/>
        <v>Saturday</v>
      </c>
      <c r="W62" s="11" t="str">
        <f t="shared" si="4"/>
        <v>Handicap</v>
      </c>
    </row>
    <row r="63">
      <c r="A63" s="7">
        <v>62.0</v>
      </c>
      <c r="B63" s="20">
        <v>45599.0</v>
      </c>
      <c r="C63" s="7">
        <v>10.0</v>
      </c>
      <c r="D63" s="7" t="s">
        <v>31</v>
      </c>
      <c r="E63" s="7">
        <v>1.0</v>
      </c>
      <c r="F63" s="7" t="s">
        <v>69</v>
      </c>
      <c r="G63" s="7">
        <v>1.0</v>
      </c>
      <c r="H63" s="11" t="s">
        <v>82</v>
      </c>
      <c r="I63" s="7" t="s">
        <v>83</v>
      </c>
      <c r="J63" s="21" t="s">
        <v>70</v>
      </c>
      <c r="K63" s="21">
        <v>1.4</v>
      </c>
      <c r="L63" s="4">
        <v>1.5</v>
      </c>
      <c r="M63" s="7" t="s">
        <v>34</v>
      </c>
      <c r="N63" s="22">
        <v>2.1</v>
      </c>
      <c r="O63" s="22">
        <f t="shared" si="6"/>
        <v>0.6</v>
      </c>
      <c r="P63" s="23">
        <f t="shared" si="5"/>
        <v>293.38</v>
      </c>
      <c r="Q63" s="23">
        <f t="shared" si="1"/>
        <v>-6.63</v>
      </c>
      <c r="R63" s="9">
        <f t="shared" si="2"/>
        <v>-0.02206666667</v>
      </c>
      <c r="S63" s="24" t="s">
        <v>35</v>
      </c>
      <c r="T63" s="24" t="s">
        <v>36</v>
      </c>
      <c r="U63" s="11" t="str">
        <f t="shared" si="3"/>
        <v>Sunday</v>
      </c>
      <c r="W63" s="11" t="str">
        <f t="shared" si="4"/>
        <v>BTTS</v>
      </c>
    </row>
    <row r="64">
      <c r="A64" s="7">
        <v>63.0</v>
      </c>
      <c r="B64" s="20">
        <v>45605.0</v>
      </c>
      <c r="C64" s="7">
        <v>11.0</v>
      </c>
      <c r="D64" s="7" t="s">
        <v>46</v>
      </c>
      <c r="E64" s="7">
        <v>0.0</v>
      </c>
      <c r="F64" s="7" t="s">
        <v>32</v>
      </c>
      <c r="G64" s="7">
        <v>2.0</v>
      </c>
      <c r="H64" s="11" t="s">
        <v>82</v>
      </c>
      <c r="I64" s="7" t="s">
        <v>83</v>
      </c>
      <c r="J64" s="21" t="s">
        <v>70</v>
      </c>
      <c r="K64" s="21">
        <v>1.7</v>
      </c>
      <c r="L64" s="4">
        <v>2.0</v>
      </c>
      <c r="M64" s="7" t="s">
        <v>44</v>
      </c>
      <c r="N64" s="22">
        <v>0.0</v>
      </c>
      <c r="O64" s="22">
        <f t="shared" si="6"/>
        <v>-2</v>
      </c>
      <c r="P64" s="23">
        <f t="shared" si="5"/>
        <v>291.38</v>
      </c>
      <c r="Q64" s="23">
        <f t="shared" si="1"/>
        <v>-8.63</v>
      </c>
      <c r="R64" s="9">
        <f t="shared" si="2"/>
        <v>-0.02873333333</v>
      </c>
      <c r="S64" s="24" t="s">
        <v>35</v>
      </c>
      <c r="T64" s="24" t="s">
        <v>36</v>
      </c>
      <c r="U64" s="11" t="str">
        <f t="shared" si="3"/>
        <v>Saturday</v>
      </c>
      <c r="W64" s="11" t="str">
        <f t="shared" si="4"/>
        <v>BTTS</v>
      </c>
    </row>
    <row r="65">
      <c r="A65" s="7">
        <v>64.0</v>
      </c>
      <c r="B65" s="20">
        <v>45605.0</v>
      </c>
      <c r="C65" s="7">
        <v>11.0</v>
      </c>
      <c r="D65" s="7" t="s">
        <v>51</v>
      </c>
      <c r="E65" s="7">
        <v>2.0</v>
      </c>
      <c r="F65" s="7" t="s">
        <v>53</v>
      </c>
      <c r="G65" s="7">
        <v>1.0</v>
      </c>
      <c r="H65" s="11" t="s">
        <v>55</v>
      </c>
      <c r="I65" s="7" t="s">
        <v>102</v>
      </c>
      <c r="J65" s="21" t="s">
        <v>51</v>
      </c>
      <c r="K65" s="21">
        <v>1.4</v>
      </c>
      <c r="L65" s="4">
        <v>2.0</v>
      </c>
      <c r="M65" s="7" t="s">
        <v>34</v>
      </c>
      <c r="N65" s="22">
        <v>2.8</v>
      </c>
      <c r="O65" s="22">
        <f t="shared" si="6"/>
        <v>0.8</v>
      </c>
      <c r="P65" s="23">
        <f t="shared" si="5"/>
        <v>292.18</v>
      </c>
      <c r="Q65" s="23">
        <f t="shared" si="1"/>
        <v>-7.83</v>
      </c>
      <c r="R65" s="9">
        <f t="shared" si="2"/>
        <v>-0.02606666667</v>
      </c>
      <c r="S65" s="24" t="s">
        <v>35</v>
      </c>
      <c r="T65" s="24" t="s">
        <v>36</v>
      </c>
      <c r="U65" s="11" t="str">
        <f t="shared" si="3"/>
        <v>Saturday</v>
      </c>
      <c r="W65" s="11" t="str">
        <f t="shared" si="4"/>
        <v>Handicap</v>
      </c>
    </row>
    <row r="66">
      <c r="A66" s="7">
        <v>65.0</v>
      </c>
      <c r="B66" s="20">
        <v>45605.0</v>
      </c>
      <c r="C66" s="7">
        <v>11.0</v>
      </c>
      <c r="D66" s="7" t="s">
        <v>61</v>
      </c>
      <c r="E66" s="7">
        <v>2.0</v>
      </c>
      <c r="F66" s="7" t="s">
        <v>42</v>
      </c>
      <c r="G66" s="7">
        <v>0.0</v>
      </c>
      <c r="H66" s="11" t="s">
        <v>33</v>
      </c>
      <c r="I66" s="7" t="s">
        <v>61</v>
      </c>
      <c r="J66" s="21" t="s">
        <v>61</v>
      </c>
      <c r="K66" s="21">
        <v>1.44</v>
      </c>
      <c r="L66" s="4">
        <v>2.0</v>
      </c>
      <c r="M66" s="7" t="s">
        <v>34</v>
      </c>
      <c r="N66" s="22">
        <v>2.89</v>
      </c>
      <c r="O66" s="22">
        <f t="shared" si="6"/>
        <v>0.89</v>
      </c>
      <c r="P66" s="23">
        <f t="shared" si="5"/>
        <v>293.07</v>
      </c>
      <c r="Q66" s="23">
        <f t="shared" si="1"/>
        <v>-6.94</v>
      </c>
      <c r="R66" s="9">
        <f t="shared" si="2"/>
        <v>-0.0231</v>
      </c>
      <c r="S66" s="24" t="s">
        <v>35</v>
      </c>
      <c r="T66" s="24" t="s">
        <v>36</v>
      </c>
      <c r="U66" s="11" t="str">
        <f t="shared" si="3"/>
        <v>Saturday</v>
      </c>
      <c r="W66" s="11" t="str">
        <f t="shared" si="4"/>
        <v>Full Time Result</v>
      </c>
    </row>
    <row r="67">
      <c r="A67" s="7">
        <v>66.0</v>
      </c>
      <c r="B67" s="20">
        <v>45606.0</v>
      </c>
      <c r="C67" s="7">
        <v>11.0</v>
      </c>
      <c r="D67" s="7" t="s">
        <v>31</v>
      </c>
      <c r="E67" s="7">
        <v>3.0</v>
      </c>
      <c r="F67" s="7" t="s">
        <v>49</v>
      </c>
      <c r="G67" s="7">
        <v>0.0</v>
      </c>
      <c r="H67" s="11" t="s">
        <v>33</v>
      </c>
      <c r="I67" s="7" t="s">
        <v>31</v>
      </c>
      <c r="J67" s="21" t="s">
        <v>31</v>
      </c>
      <c r="K67" s="21">
        <v>1.38</v>
      </c>
      <c r="L67" s="4">
        <v>2.0</v>
      </c>
      <c r="M67" s="7" t="s">
        <v>34</v>
      </c>
      <c r="N67" s="22">
        <v>2.76</v>
      </c>
      <c r="O67" s="22">
        <f t="shared" si="6"/>
        <v>0.76</v>
      </c>
      <c r="P67" s="23">
        <f t="shared" si="5"/>
        <v>293.83</v>
      </c>
      <c r="Q67" s="23">
        <f t="shared" si="1"/>
        <v>-6.18</v>
      </c>
      <c r="R67" s="9">
        <f t="shared" si="2"/>
        <v>-0.02056666667</v>
      </c>
      <c r="S67" s="24" t="s">
        <v>35</v>
      </c>
      <c r="T67" s="24" t="s">
        <v>36</v>
      </c>
      <c r="U67" s="11" t="str">
        <f t="shared" si="3"/>
        <v>Sunday</v>
      </c>
      <c r="W67" s="11" t="str">
        <f t="shared" si="4"/>
        <v>Full Time Result</v>
      </c>
    </row>
    <row r="68">
      <c r="A68" s="7">
        <v>67.0</v>
      </c>
      <c r="B68" s="20">
        <v>45606.0</v>
      </c>
      <c r="C68" s="7">
        <v>11.0</v>
      </c>
      <c r="D68" s="7" t="s">
        <v>78</v>
      </c>
      <c r="E68" s="7">
        <v>1.0</v>
      </c>
      <c r="F68" s="7" t="s">
        <v>59</v>
      </c>
      <c r="G68" s="7">
        <v>3.0</v>
      </c>
      <c r="H68" s="11" t="s">
        <v>55</v>
      </c>
      <c r="I68" s="7" t="s">
        <v>103</v>
      </c>
      <c r="J68" s="21" t="s">
        <v>78</v>
      </c>
      <c r="K68" s="21">
        <v>1.5</v>
      </c>
      <c r="L68" s="4">
        <v>2.0</v>
      </c>
      <c r="M68" s="7" t="s">
        <v>44</v>
      </c>
      <c r="N68" s="22">
        <v>0.0</v>
      </c>
      <c r="O68" s="22">
        <f t="shared" si="6"/>
        <v>-2</v>
      </c>
      <c r="P68" s="23">
        <f t="shared" si="5"/>
        <v>291.83</v>
      </c>
      <c r="Q68" s="23">
        <f t="shared" si="1"/>
        <v>-8.18</v>
      </c>
      <c r="R68" s="9">
        <f t="shared" si="2"/>
        <v>-0.02723333333</v>
      </c>
      <c r="S68" s="24" t="s">
        <v>35</v>
      </c>
      <c r="T68" s="24" t="s">
        <v>36</v>
      </c>
      <c r="U68" s="11" t="str">
        <f t="shared" si="3"/>
        <v>Sunday</v>
      </c>
      <c r="W68" s="11" t="str">
        <f t="shared" si="4"/>
        <v>Handicap</v>
      </c>
    </row>
    <row r="69">
      <c r="A69" s="7">
        <v>68.0</v>
      </c>
      <c r="B69" s="20">
        <v>45606.0</v>
      </c>
      <c r="C69" s="7">
        <v>11.0</v>
      </c>
      <c r="D69" s="7" t="s">
        <v>50</v>
      </c>
      <c r="E69" s="7">
        <v>1.0</v>
      </c>
      <c r="F69" s="7" t="s">
        <v>54</v>
      </c>
      <c r="G69" s="7">
        <v>2.0</v>
      </c>
      <c r="H69" s="11" t="s">
        <v>55</v>
      </c>
      <c r="I69" s="7" t="s">
        <v>104</v>
      </c>
      <c r="J69" s="21" t="s">
        <v>50</v>
      </c>
      <c r="K69" s="21">
        <v>1.66</v>
      </c>
      <c r="L69" s="4">
        <v>2.0</v>
      </c>
      <c r="M69" s="7" t="s">
        <v>44</v>
      </c>
      <c r="N69" s="22">
        <v>0.0</v>
      </c>
      <c r="O69" s="22">
        <f t="shared" si="6"/>
        <v>-2</v>
      </c>
      <c r="P69" s="23">
        <f t="shared" si="5"/>
        <v>289.83</v>
      </c>
      <c r="Q69" s="23">
        <f t="shared" si="1"/>
        <v>-10.18</v>
      </c>
      <c r="R69" s="9">
        <f t="shared" si="2"/>
        <v>-0.0339</v>
      </c>
      <c r="S69" s="24" t="s">
        <v>35</v>
      </c>
      <c r="T69" s="24" t="s">
        <v>36</v>
      </c>
      <c r="U69" s="11" t="str">
        <f t="shared" si="3"/>
        <v>Sunday</v>
      </c>
      <c r="W69" s="11" t="str">
        <f t="shared" si="4"/>
        <v>Handicap</v>
      </c>
    </row>
    <row r="70">
      <c r="A70" s="7">
        <v>69.0</v>
      </c>
      <c r="B70" s="20">
        <v>45611.0</v>
      </c>
      <c r="C70" s="7" t="s">
        <v>73</v>
      </c>
      <c r="D70" s="7" t="s">
        <v>75</v>
      </c>
      <c r="F70" s="7" t="s">
        <v>105</v>
      </c>
      <c r="G70" s="7">
        <v>1.0</v>
      </c>
      <c r="H70" s="11" t="s">
        <v>82</v>
      </c>
      <c r="I70" s="7" t="s">
        <v>106</v>
      </c>
      <c r="J70" s="21" t="s">
        <v>70</v>
      </c>
      <c r="K70" s="21">
        <v>1.28</v>
      </c>
      <c r="L70" s="4">
        <v>5.0</v>
      </c>
      <c r="M70" s="7" t="s">
        <v>44</v>
      </c>
      <c r="N70" s="22">
        <v>0.0</v>
      </c>
      <c r="O70" s="22">
        <f t="shared" si="6"/>
        <v>-5</v>
      </c>
      <c r="P70" s="23">
        <f t="shared" si="5"/>
        <v>284.83</v>
      </c>
      <c r="Q70" s="23">
        <f t="shared" si="1"/>
        <v>-15.18</v>
      </c>
      <c r="R70" s="9">
        <f t="shared" si="2"/>
        <v>-0.05056666667</v>
      </c>
      <c r="S70" s="24" t="s">
        <v>77</v>
      </c>
      <c r="T70" s="24" t="s">
        <v>36</v>
      </c>
      <c r="U70" s="11" t="str">
        <f t="shared" si="3"/>
        <v>Friday</v>
      </c>
      <c r="W70" s="11" t="str">
        <f t="shared" si="4"/>
        <v>BTTS</v>
      </c>
    </row>
    <row r="71">
      <c r="A71" s="7">
        <v>70.0</v>
      </c>
      <c r="B71" s="20">
        <v>45614.0</v>
      </c>
      <c r="C71" s="7" t="s">
        <v>73</v>
      </c>
      <c r="D71" s="7" t="s">
        <v>75</v>
      </c>
      <c r="E71" s="7">
        <v>8.0</v>
      </c>
      <c r="F71" s="7" t="s">
        <v>107</v>
      </c>
      <c r="G71" s="7">
        <v>0.0</v>
      </c>
      <c r="H71" s="11" t="s">
        <v>108</v>
      </c>
      <c r="I71" s="7" t="s">
        <v>109</v>
      </c>
      <c r="J71" s="21" t="s">
        <v>70</v>
      </c>
      <c r="K71" s="21">
        <v>1.85</v>
      </c>
      <c r="L71" s="4">
        <v>5.0</v>
      </c>
      <c r="M71" s="7" t="s">
        <v>44</v>
      </c>
      <c r="N71" s="22">
        <v>0.0</v>
      </c>
      <c r="O71" s="22">
        <f t="shared" si="6"/>
        <v>-5</v>
      </c>
      <c r="P71" s="23">
        <f t="shared" si="5"/>
        <v>279.83</v>
      </c>
      <c r="Q71" s="23">
        <f t="shared" si="1"/>
        <v>-20.18</v>
      </c>
      <c r="R71" s="9">
        <f t="shared" si="2"/>
        <v>-0.06723333333</v>
      </c>
      <c r="S71" s="24" t="s">
        <v>77</v>
      </c>
      <c r="T71" s="24" t="s">
        <v>36</v>
      </c>
      <c r="U71" s="11" t="str">
        <f t="shared" si="3"/>
        <v>Monday</v>
      </c>
      <c r="W71" s="11" t="str">
        <f t="shared" si="4"/>
        <v>Goal Line</v>
      </c>
    </row>
    <row r="72">
      <c r="A72" s="7">
        <v>71.0</v>
      </c>
      <c r="B72" s="20">
        <v>45620.0</v>
      </c>
      <c r="C72" s="7">
        <v>12.0</v>
      </c>
      <c r="D72" s="7" t="s">
        <v>49</v>
      </c>
      <c r="E72" s="7">
        <v>1.0</v>
      </c>
      <c r="F72" s="7" t="s">
        <v>69</v>
      </c>
      <c r="G72" s="7">
        <v>2.0</v>
      </c>
      <c r="H72" s="11" t="s">
        <v>33</v>
      </c>
      <c r="I72" s="7" t="s">
        <v>98</v>
      </c>
      <c r="J72" s="21" t="s">
        <v>69</v>
      </c>
      <c r="K72" s="21">
        <v>1.45</v>
      </c>
      <c r="L72" s="4">
        <v>1.5</v>
      </c>
      <c r="M72" s="7" t="s">
        <v>34</v>
      </c>
      <c r="N72" s="22">
        <v>2.18</v>
      </c>
      <c r="O72" s="22">
        <f t="shared" si="6"/>
        <v>0.68</v>
      </c>
      <c r="P72" s="23">
        <f t="shared" si="5"/>
        <v>280.51</v>
      </c>
      <c r="Q72" s="23">
        <f t="shared" si="1"/>
        <v>-19.5</v>
      </c>
      <c r="R72" s="9">
        <f t="shared" si="2"/>
        <v>-0.06496666667</v>
      </c>
      <c r="S72" s="24" t="s">
        <v>35</v>
      </c>
      <c r="T72" s="24" t="s">
        <v>36</v>
      </c>
      <c r="U72" s="11" t="str">
        <f t="shared" si="3"/>
        <v>Sunday</v>
      </c>
      <c r="W72" s="11" t="str">
        <f t="shared" si="4"/>
        <v>Full Time Result</v>
      </c>
    </row>
    <row r="73">
      <c r="A73" s="7">
        <v>72.0</v>
      </c>
      <c r="B73" s="20">
        <v>45620.0</v>
      </c>
      <c r="C73" s="7">
        <v>12.0</v>
      </c>
      <c r="D73" s="7" t="s">
        <v>32</v>
      </c>
      <c r="E73" s="7">
        <v>1.0</v>
      </c>
      <c r="F73" s="7" t="s">
        <v>38</v>
      </c>
      <c r="G73" s="7">
        <v>4.0</v>
      </c>
      <c r="H73" s="11" t="s">
        <v>33</v>
      </c>
      <c r="I73" s="7" t="s">
        <v>32</v>
      </c>
      <c r="J73" s="21" t="s">
        <v>32</v>
      </c>
      <c r="K73" s="21">
        <v>1.55</v>
      </c>
      <c r="L73" s="4">
        <v>1.5</v>
      </c>
      <c r="M73" s="7" t="s">
        <v>44</v>
      </c>
      <c r="N73" s="22">
        <v>0.0</v>
      </c>
      <c r="O73" s="22">
        <f t="shared" si="6"/>
        <v>-1.5</v>
      </c>
      <c r="P73" s="23">
        <f t="shared" si="5"/>
        <v>279.01</v>
      </c>
      <c r="Q73" s="23">
        <f t="shared" si="1"/>
        <v>-21</v>
      </c>
      <c r="R73" s="9">
        <f t="shared" si="2"/>
        <v>-0.06996666667</v>
      </c>
      <c r="S73" s="24" t="s">
        <v>35</v>
      </c>
      <c r="T73" s="24" t="s">
        <v>36</v>
      </c>
      <c r="U73" s="11" t="str">
        <f t="shared" si="3"/>
        <v>Sunday</v>
      </c>
      <c r="W73" s="11" t="str">
        <f t="shared" si="4"/>
        <v>Full Time Result</v>
      </c>
    </row>
    <row r="74">
      <c r="A74" s="7">
        <v>73.0</v>
      </c>
      <c r="B74" s="20">
        <v>45620.0</v>
      </c>
      <c r="C74" s="7">
        <v>12.0</v>
      </c>
      <c r="D74" s="7" t="s">
        <v>57</v>
      </c>
      <c r="E74" s="7">
        <v>0.0</v>
      </c>
      <c r="F74" s="7" t="s">
        <v>45</v>
      </c>
      <c r="G74" s="7">
        <v>0.0</v>
      </c>
      <c r="H74" s="11" t="s">
        <v>55</v>
      </c>
      <c r="I74" s="7" t="s">
        <v>96</v>
      </c>
      <c r="J74" s="21" t="s">
        <v>45</v>
      </c>
      <c r="K74" s="21">
        <v>1.57</v>
      </c>
      <c r="L74" s="4">
        <v>1.5</v>
      </c>
      <c r="M74" s="7" t="s">
        <v>34</v>
      </c>
      <c r="N74" s="22">
        <v>2.36</v>
      </c>
      <c r="O74" s="22">
        <f t="shared" si="6"/>
        <v>0.86</v>
      </c>
      <c r="P74" s="23">
        <f t="shared" si="5"/>
        <v>279.87</v>
      </c>
      <c r="Q74" s="23">
        <f t="shared" si="1"/>
        <v>-20.14</v>
      </c>
      <c r="R74" s="9">
        <f t="shared" si="2"/>
        <v>-0.0671</v>
      </c>
      <c r="S74" s="24" t="s">
        <v>35</v>
      </c>
      <c r="T74" s="24" t="s">
        <v>36</v>
      </c>
      <c r="U74" s="11" t="str">
        <f t="shared" si="3"/>
        <v>Sunday</v>
      </c>
      <c r="W74" s="11" t="str">
        <f t="shared" si="4"/>
        <v>Handicap</v>
      </c>
    </row>
    <row r="75">
      <c r="A75" s="7">
        <v>74.0</v>
      </c>
      <c r="B75" s="20">
        <v>45620.0</v>
      </c>
      <c r="C75" s="7">
        <v>12.0</v>
      </c>
      <c r="D75" s="7" t="s">
        <v>37</v>
      </c>
      <c r="E75" s="7">
        <v>3.0</v>
      </c>
      <c r="F75" s="7" t="s">
        <v>78</v>
      </c>
      <c r="G75" s="7">
        <v>0.0</v>
      </c>
      <c r="H75" s="11" t="s">
        <v>33</v>
      </c>
      <c r="I75" s="7" t="s">
        <v>37</v>
      </c>
      <c r="J75" s="21" t="s">
        <v>37</v>
      </c>
      <c r="K75" s="21">
        <v>1.4</v>
      </c>
      <c r="L75" s="4">
        <v>1.5</v>
      </c>
      <c r="M75" s="7" t="s">
        <v>34</v>
      </c>
      <c r="N75" s="22">
        <v>2.13</v>
      </c>
      <c r="O75" s="22">
        <f t="shared" si="6"/>
        <v>0.63</v>
      </c>
      <c r="P75" s="23">
        <f t="shared" si="5"/>
        <v>280.5</v>
      </c>
      <c r="Q75" s="23">
        <f t="shared" si="1"/>
        <v>-19.51</v>
      </c>
      <c r="R75" s="9">
        <f t="shared" si="2"/>
        <v>-0.065</v>
      </c>
      <c r="S75" s="24" t="s">
        <v>35</v>
      </c>
      <c r="T75" s="24" t="s">
        <v>36</v>
      </c>
      <c r="U75" s="11" t="str">
        <f t="shared" si="3"/>
        <v>Sunday</v>
      </c>
      <c r="W75" s="11" t="str">
        <f t="shared" si="4"/>
        <v>Full Time Result</v>
      </c>
    </row>
    <row r="76">
      <c r="A76" s="7">
        <v>75.0</v>
      </c>
      <c r="B76" s="20">
        <v>45620.0</v>
      </c>
      <c r="C76" s="7">
        <v>12.0</v>
      </c>
      <c r="D76" s="7" t="s">
        <v>58</v>
      </c>
      <c r="E76" s="7">
        <v>1.0</v>
      </c>
      <c r="F76" s="7" t="s">
        <v>51</v>
      </c>
      <c r="G76" s="7">
        <v>2.0</v>
      </c>
      <c r="H76" s="11" t="s">
        <v>82</v>
      </c>
      <c r="I76" s="7" t="s">
        <v>83</v>
      </c>
      <c r="J76" s="21" t="s">
        <v>70</v>
      </c>
      <c r="K76" s="21">
        <v>1.44</v>
      </c>
      <c r="L76" s="4">
        <v>1.5</v>
      </c>
      <c r="M76" s="7" t="s">
        <v>34</v>
      </c>
      <c r="N76" s="22">
        <v>2.08</v>
      </c>
      <c r="O76" s="22">
        <f t="shared" si="6"/>
        <v>0.58</v>
      </c>
      <c r="P76" s="23">
        <f t="shared" si="5"/>
        <v>281.08</v>
      </c>
      <c r="Q76" s="23">
        <f t="shared" si="1"/>
        <v>-18.93</v>
      </c>
      <c r="R76" s="9">
        <f t="shared" si="2"/>
        <v>-0.06306666667</v>
      </c>
      <c r="S76" s="24" t="s">
        <v>35</v>
      </c>
      <c r="T76" s="24" t="s">
        <v>36</v>
      </c>
      <c r="U76" s="11" t="str">
        <f t="shared" si="3"/>
        <v>Sunday</v>
      </c>
      <c r="W76" s="11" t="str">
        <f t="shared" si="4"/>
        <v>BTTS</v>
      </c>
    </row>
    <row r="77">
      <c r="A77" s="7">
        <v>76.0</v>
      </c>
      <c r="B77" s="20">
        <v>45620.0</v>
      </c>
      <c r="C77" s="7">
        <v>12.0</v>
      </c>
      <c r="D77" s="7" t="s">
        <v>42</v>
      </c>
      <c r="E77" s="7">
        <v>2.0</v>
      </c>
      <c r="F77" s="7" t="s">
        <v>46</v>
      </c>
      <c r="G77" s="7">
        <v>2.0</v>
      </c>
      <c r="H77" s="11" t="s">
        <v>33</v>
      </c>
      <c r="I77" s="7" t="s">
        <v>87</v>
      </c>
      <c r="J77" s="21" t="s">
        <v>42</v>
      </c>
      <c r="K77" s="21">
        <v>1.65</v>
      </c>
      <c r="L77" s="4">
        <v>1.5</v>
      </c>
      <c r="M77" s="7" t="s">
        <v>44</v>
      </c>
      <c r="N77" s="22">
        <v>0.0</v>
      </c>
      <c r="O77" s="22">
        <f t="shared" si="6"/>
        <v>-1.5</v>
      </c>
      <c r="P77" s="23">
        <f t="shared" si="5"/>
        <v>279.58</v>
      </c>
      <c r="Q77" s="23">
        <f t="shared" si="1"/>
        <v>-20.43</v>
      </c>
      <c r="R77" s="9">
        <f t="shared" si="2"/>
        <v>-0.06806666667</v>
      </c>
      <c r="S77" s="24" t="s">
        <v>35</v>
      </c>
      <c r="T77" s="24" t="s">
        <v>36</v>
      </c>
      <c r="U77" s="11" t="str">
        <f t="shared" si="3"/>
        <v>Sunday</v>
      </c>
      <c r="W77" s="11" t="str">
        <f t="shared" si="4"/>
        <v>Full Time Result</v>
      </c>
    </row>
    <row r="78">
      <c r="A78" s="7">
        <v>77.0</v>
      </c>
      <c r="B78" s="20">
        <v>45621.0</v>
      </c>
      <c r="C78" s="7">
        <v>12.0</v>
      </c>
      <c r="D78" s="7" t="s">
        <v>88</v>
      </c>
      <c r="E78" s="7">
        <v>2.0</v>
      </c>
      <c r="F78" s="7" t="s">
        <v>61</v>
      </c>
      <c r="G78" s="7">
        <v>3.0</v>
      </c>
      <c r="H78" s="11" t="s">
        <v>33</v>
      </c>
      <c r="I78" s="7" t="s">
        <v>86</v>
      </c>
      <c r="J78" s="21" t="s">
        <v>61</v>
      </c>
      <c r="K78" s="21">
        <v>1.28</v>
      </c>
      <c r="L78" s="4">
        <v>1.5</v>
      </c>
      <c r="M78" s="7" t="s">
        <v>34</v>
      </c>
      <c r="N78" s="22">
        <v>1.96</v>
      </c>
      <c r="O78" s="22">
        <f t="shared" si="6"/>
        <v>0.46</v>
      </c>
      <c r="P78" s="23">
        <f t="shared" si="5"/>
        <v>280.04</v>
      </c>
      <c r="Q78" s="23">
        <f t="shared" si="1"/>
        <v>-19.97</v>
      </c>
      <c r="R78" s="9">
        <f t="shared" si="2"/>
        <v>-0.06653333333</v>
      </c>
      <c r="S78" s="24" t="s">
        <v>35</v>
      </c>
      <c r="T78" s="24" t="s">
        <v>36</v>
      </c>
      <c r="U78" s="11" t="str">
        <f t="shared" si="3"/>
        <v>Monday</v>
      </c>
      <c r="W78" s="11" t="str">
        <f t="shared" si="4"/>
        <v>Full Time Result</v>
      </c>
    </row>
    <row r="79">
      <c r="A79" s="7">
        <v>78.0</v>
      </c>
      <c r="B79" s="20">
        <v>45626.0</v>
      </c>
      <c r="C79" s="7">
        <v>13.0</v>
      </c>
      <c r="D79" s="7" t="s">
        <v>51</v>
      </c>
      <c r="E79" s="7">
        <v>1.0</v>
      </c>
      <c r="F79" s="7" t="s">
        <v>88</v>
      </c>
      <c r="G79" s="7">
        <v>1.0</v>
      </c>
      <c r="H79" s="11" t="s">
        <v>33</v>
      </c>
      <c r="I79" s="7" t="s">
        <v>51</v>
      </c>
      <c r="J79" s="21" t="s">
        <v>51</v>
      </c>
      <c r="K79" s="21">
        <v>1.38</v>
      </c>
      <c r="L79" s="4">
        <v>2.0</v>
      </c>
      <c r="M79" s="7" t="s">
        <v>44</v>
      </c>
      <c r="N79" s="22">
        <v>0.0</v>
      </c>
      <c r="O79" s="22">
        <f t="shared" si="6"/>
        <v>-2</v>
      </c>
      <c r="P79" s="23">
        <f t="shared" si="5"/>
        <v>278.04</v>
      </c>
      <c r="Q79" s="23">
        <f t="shared" si="1"/>
        <v>-21.97</v>
      </c>
      <c r="R79" s="9">
        <f t="shared" si="2"/>
        <v>-0.0732</v>
      </c>
      <c r="S79" s="24" t="s">
        <v>35</v>
      </c>
      <c r="T79" s="24" t="s">
        <v>36</v>
      </c>
      <c r="U79" s="11" t="str">
        <f t="shared" si="3"/>
        <v>Saturday</v>
      </c>
      <c r="W79" s="11" t="str">
        <f t="shared" si="4"/>
        <v>Full Time Result</v>
      </c>
    </row>
    <row r="80">
      <c r="A80" s="7">
        <v>79.0</v>
      </c>
      <c r="B80" s="20">
        <v>45627.0</v>
      </c>
      <c r="C80" s="7">
        <v>13.0</v>
      </c>
      <c r="D80" s="7" t="s">
        <v>45</v>
      </c>
      <c r="E80" s="7">
        <v>4.0</v>
      </c>
      <c r="F80" s="7" t="s">
        <v>49</v>
      </c>
      <c r="G80" s="7">
        <v>1.0</v>
      </c>
      <c r="H80" s="11" t="s">
        <v>33</v>
      </c>
      <c r="I80" s="7" t="s">
        <v>110</v>
      </c>
      <c r="J80" s="21" t="s">
        <v>45</v>
      </c>
      <c r="K80" s="21">
        <v>1.65</v>
      </c>
      <c r="L80" s="4">
        <v>2.0</v>
      </c>
      <c r="M80" s="7" t="s">
        <v>34</v>
      </c>
      <c r="N80" s="22">
        <v>3.3</v>
      </c>
      <c r="O80" s="22">
        <f t="shared" si="6"/>
        <v>1.3</v>
      </c>
      <c r="P80" s="23">
        <f t="shared" si="5"/>
        <v>279.34</v>
      </c>
      <c r="Q80" s="23">
        <f t="shared" si="1"/>
        <v>-20.67</v>
      </c>
      <c r="R80" s="9">
        <f t="shared" si="2"/>
        <v>-0.06886666667</v>
      </c>
      <c r="S80" s="24" t="s">
        <v>35</v>
      </c>
      <c r="T80" s="24" t="s">
        <v>36</v>
      </c>
      <c r="U80" s="11" t="str">
        <f t="shared" si="3"/>
        <v>Sunday</v>
      </c>
      <c r="W80" s="11" t="str">
        <f t="shared" si="4"/>
        <v>Full Time Result</v>
      </c>
    </row>
    <row r="81">
      <c r="A81" s="7">
        <v>80.0</v>
      </c>
      <c r="B81" s="20">
        <v>45628.0</v>
      </c>
      <c r="C81" s="7">
        <v>13.0</v>
      </c>
      <c r="D81" s="7" t="s">
        <v>69</v>
      </c>
      <c r="E81" s="7">
        <v>3.0</v>
      </c>
      <c r="F81" s="7" t="s">
        <v>42</v>
      </c>
      <c r="G81" s="7">
        <v>0.0</v>
      </c>
      <c r="H81" s="11" t="s">
        <v>33</v>
      </c>
      <c r="I81" s="7" t="s">
        <v>98</v>
      </c>
      <c r="J81" s="21" t="s">
        <v>69</v>
      </c>
      <c r="K81" s="21">
        <v>1.7</v>
      </c>
      <c r="L81" s="4">
        <v>2.0</v>
      </c>
      <c r="M81" s="7" t="s">
        <v>34</v>
      </c>
      <c r="N81" s="22">
        <v>3.4</v>
      </c>
      <c r="O81" s="22">
        <f t="shared" si="6"/>
        <v>1.4</v>
      </c>
      <c r="P81" s="23">
        <f t="shared" si="5"/>
        <v>280.74</v>
      </c>
      <c r="Q81" s="23">
        <f t="shared" si="1"/>
        <v>-19.27</v>
      </c>
      <c r="R81" s="9">
        <f t="shared" si="2"/>
        <v>-0.0642</v>
      </c>
      <c r="S81" s="24" t="s">
        <v>35</v>
      </c>
      <c r="T81" s="24" t="s">
        <v>36</v>
      </c>
      <c r="U81" s="11" t="str">
        <f t="shared" si="3"/>
        <v>Monday</v>
      </c>
      <c r="W81" s="11" t="str">
        <f t="shared" si="4"/>
        <v>Full Time Result</v>
      </c>
    </row>
    <row r="82">
      <c r="A82" s="7">
        <v>81.0</v>
      </c>
      <c r="B82" s="20">
        <v>45628.0</v>
      </c>
      <c r="C82" s="7">
        <v>13.0</v>
      </c>
      <c r="D82" s="7" t="s">
        <v>31</v>
      </c>
      <c r="E82" s="7">
        <v>4.0</v>
      </c>
      <c r="F82" s="7" t="s">
        <v>57</v>
      </c>
      <c r="G82" s="7">
        <v>0.0</v>
      </c>
      <c r="H82" s="11" t="s">
        <v>33</v>
      </c>
      <c r="I82" s="7" t="s">
        <v>31</v>
      </c>
      <c r="J82" s="21" t="s">
        <v>31</v>
      </c>
      <c r="K82" s="21">
        <v>1.53</v>
      </c>
      <c r="L82" s="4">
        <v>2.0</v>
      </c>
      <c r="M82" s="7" t="s">
        <v>34</v>
      </c>
      <c r="N82" s="22">
        <v>3.07</v>
      </c>
      <c r="O82" s="22">
        <f t="shared" si="6"/>
        <v>1.07</v>
      </c>
      <c r="P82" s="23">
        <f t="shared" si="5"/>
        <v>281.81</v>
      </c>
      <c r="Q82" s="23">
        <f t="shared" si="1"/>
        <v>-18.2</v>
      </c>
      <c r="R82" s="9">
        <f t="shared" si="2"/>
        <v>-0.06063333333</v>
      </c>
      <c r="S82" s="24" t="s">
        <v>35</v>
      </c>
      <c r="T82" s="24" t="s">
        <v>36</v>
      </c>
      <c r="U82" s="11" t="str">
        <f t="shared" si="3"/>
        <v>Monday</v>
      </c>
      <c r="W82" s="11" t="str">
        <f t="shared" si="4"/>
        <v>Full Time Result</v>
      </c>
    </row>
    <row r="83">
      <c r="A83" s="7">
        <v>82.0</v>
      </c>
      <c r="B83" s="20">
        <v>45628.0</v>
      </c>
      <c r="C83" s="7">
        <v>13.0</v>
      </c>
      <c r="D83" s="7" t="s">
        <v>61</v>
      </c>
      <c r="E83" s="7">
        <v>2.0</v>
      </c>
      <c r="F83" s="7" t="s">
        <v>53</v>
      </c>
      <c r="G83" s="7">
        <v>0.0</v>
      </c>
      <c r="H83" s="11" t="s">
        <v>33</v>
      </c>
      <c r="I83" s="7" t="s">
        <v>61</v>
      </c>
      <c r="J83" s="21" t="s">
        <v>61</v>
      </c>
      <c r="K83" s="21">
        <v>2.1</v>
      </c>
      <c r="L83" s="4">
        <v>2.0</v>
      </c>
      <c r="M83" s="7" t="s">
        <v>34</v>
      </c>
      <c r="N83" s="22">
        <v>4.2</v>
      </c>
      <c r="O83" s="22">
        <f t="shared" si="6"/>
        <v>2.2</v>
      </c>
      <c r="P83" s="23">
        <f t="shared" si="5"/>
        <v>284.01</v>
      </c>
      <c r="Q83" s="23">
        <f t="shared" si="1"/>
        <v>-16</v>
      </c>
      <c r="R83" s="9">
        <f t="shared" si="2"/>
        <v>-0.0533</v>
      </c>
      <c r="S83" s="24" t="s">
        <v>35</v>
      </c>
      <c r="T83" s="24" t="s">
        <v>36</v>
      </c>
      <c r="U83" s="11" t="str">
        <f t="shared" si="3"/>
        <v>Monday</v>
      </c>
      <c r="W83" s="11" t="str">
        <f t="shared" si="4"/>
        <v>Full Time Result</v>
      </c>
    </row>
    <row r="84">
      <c r="A84" s="7">
        <v>83.0</v>
      </c>
      <c r="B84" s="20">
        <v>45630.0</v>
      </c>
      <c r="C84" s="7">
        <v>14.0</v>
      </c>
      <c r="D84" s="7" t="s">
        <v>42</v>
      </c>
      <c r="E84" s="7">
        <v>3.0</v>
      </c>
      <c r="F84" s="7" t="s">
        <v>45</v>
      </c>
      <c r="G84" s="7">
        <v>1.0</v>
      </c>
      <c r="H84" s="11" t="s">
        <v>33</v>
      </c>
      <c r="I84" s="7" t="s">
        <v>42</v>
      </c>
      <c r="J84" s="21" t="s">
        <v>42</v>
      </c>
      <c r="K84" s="21">
        <v>1.83</v>
      </c>
      <c r="L84" s="4">
        <v>2.0</v>
      </c>
      <c r="M84" s="7" t="s">
        <v>34</v>
      </c>
      <c r="N84" s="22">
        <v>3.67</v>
      </c>
      <c r="O84" s="22">
        <f t="shared" si="6"/>
        <v>1.67</v>
      </c>
      <c r="P84" s="23">
        <f t="shared" si="5"/>
        <v>285.68</v>
      </c>
      <c r="Q84" s="23">
        <f t="shared" si="1"/>
        <v>-14.33</v>
      </c>
      <c r="R84" s="9">
        <f t="shared" si="2"/>
        <v>-0.04773333333</v>
      </c>
      <c r="S84" s="24" t="s">
        <v>35</v>
      </c>
      <c r="T84" s="24" t="s">
        <v>36</v>
      </c>
      <c r="U84" s="11" t="str">
        <f t="shared" si="3"/>
        <v>Wednesday</v>
      </c>
      <c r="W84" s="11" t="str">
        <f t="shared" si="4"/>
        <v>Full Time Result</v>
      </c>
    </row>
    <row r="85">
      <c r="A85" s="7">
        <v>84.0</v>
      </c>
      <c r="B85" s="20">
        <v>45630.0</v>
      </c>
      <c r="C85" s="7">
        <v>14.0</v>
      </c>
      <c r="D85" s="7" t="s">
        <v>37</v>
      </c>
      <c r="E85" s="7">
        <v>2.0</v>
      </c>
      <c r="F85" s="7" t="s">
        <v>31</v>
      </c>
      <c r="G85" s="7">
        <v>0.0</v>
      </c>
      <c r="H85" s="11" t="s">
        <v>33</v>
      </c>
      <c r="I85" s="7" t="s">
        <v>37</v>
      </c>
      <c r="J85" s="21" t="s">
        <v>37</v>
      </c>
      <c r="K85" s="21">
        <v>1.4</v>
      </c>
      <c r="L85" s="4">
        <v>2.0</v>
      </c>
      <c r="M85" s="7" t="s">
        <v>34</v>
      </c>
      <c r="N85" s="22">
        <v>3.03</v>
      </c>
      <c r="O85" s="22">
        <f t="shared" si="6"/>
        <v>1.03</v>
      </c>
      <c r="P85" s="23">
        <f t="shared" si="5"/>
        <v>286.71</v>
      </c>
      <c r="Q85" s="23">
        <f t="shared" si="1"/>
        <v>-13.3</v>
      </c>
      <c r="R85" s="9">
        <f t="shared" si="2"/>
        <v>-0.0443</v>
      </c>
      <c r="S85" s="24" t="s">
        <v>35</v>
      </c>
      <c r="T85" s="24" t="s">
        <v>36</v>
      </c>
      <c r="U85" s="11" t="str">
        <f t="shared" si="3"/>
        <v>Wednesday</v>
      </c>
      <c r="W85" s="11" t="str">
        <f t="shared" si="4"/>
        <v>Full Time Result</v>
      </c>
    </row>
    <row r="86">
      <c r="A86" s="7">
        <v>85.0</v>
      </c>
      <c r="B86" s="20">
        <v>45631.0</v>
      </c>
      <c r="C86" s="7">
        <v>14.0</v>
      </c>
      <c r="D86" s="7" t="s">
        <v>59</v>
      </c>
      <c r="E86" s="7">
        <v>3.0</v>
      </c>
      <c r="F86" s="7" t="s">
        <v>61</v>
      </c>
      <c r="G86" s="7">
        <v>3.0</v>
      </c>
      <c r="H86" s="11" t="s">
        <v>33</v>
      </c>
      <c r="I86" s="7" t="s">
        <v>61</v>
      </c>
      <c r="J86" s="21" t="s">
        <v>61</v>
      </c>
      <c r="K86" s="21">
        <v>1.8</v>
      </c>
      <c r="L86" s="4">
        <v>2.0</v>
      </c>
      <c r="M86" s="7" t="s">
        <v>44</v>
      </c>
      <c r="N86" s="22">
        <v>0.0</v>
      </c>
      <c r="O86" s="22">
        <f t="shared" si="6"/>
        <v>-2</v>
      </c>
      <c r="P86" s="23">
        <f t="shared" si="5"/>
        <v>284.71</v>
      </c>
      <c r="Q86" s="23">
        <f t="shared" si="1"/>
        <v>-15.3</v>
      </c>
      <c r="R86" s="9">
        <f t="shared" si="2"/>
        <v>-0.05096666667</v>
      </c>
      <c r="S86" s="24" t="s">
        <v>35</v>
      </c>
      <c r="T86" s="24" t="s">
        <v>36</v>
      </c>
      <c r="U86" s="11" t="str">
        <f t="shared" si="3"/>
        <v>Thursday</v>
      </c>
      <c r="W86" s="11" t="str">
        <f t="shared" si="4"/>
        <v>Full Time Result</v>
      </c>
    </row>
    <row r="87">
      <c r="A87" s="7">
        <v>86.0</v>
      </c>
      <c r="B87" s="20">
        <v>45631.0</v>
      </c>
      <c r="C87" s="7">
        <v>14.0</v>
      </c>
      <c r="D87" s="7" t="s">
        <v>53</v>
      </c>
      <c r="E87" s="7">
        <v>3.0</v>
      </c>
      <c r="F87" s="7" t="s">
        <v>78</v>
      </c>
      <c r="G87" s="7">
        <v>0.0</v>
      </c>
      <c r="H87" s="11" t="s">
        <v>82</v>
      </c>
      <c r="I87" s="7" t="s">
        <v>83</v>
      </c>
      <c r="J87" s="21" t="s">
        <v>70</v>
      </c>
      <c r="K87" s="21">
        <v>1.8</v>
      </c>
      <c r="L87" s="4">
        <v>2.0</v>
      </c>
      <c r="M87" s="7" t="s">
        <v>44</v>
      </c>
      <c r="N87" s="22">
        <v>0.0</v>
      </c>
      <c r="O87" s="22">
        <f t="shared" si="6"/>
        <v>-2</v>
      </c>
      <c r="P87" s="23">
        <f t="shared" si="5"/>
        <v>282.71</v>
      </c>
      <c r="Q87" s="23">
        <f t="shared" si="1"/>
        <v>-17.3</v>
      </c>
      <c r="R87" s="9">
        <f t="shared" si="2"/>
        <v>-0.05763333333</v>
      </c>
      <c r="S87" s="24" t="s">
        <v>35</v>
      </c>
      <c r="T87" s="24" t="s">
        <v>36</v>
      </c>
      <c r="U87" s="11" t="str">
        <f t="shared" si="3"/>
        <v>Thursday</v>
      </c>
      <c r="W87" s="11" t="str">
        <f t="shared" si="4"/>
        <v>BTTS</v>
      </c>
    </row>
    <row r="88">
      <c r="A88" s="7">
        <v>87.0</v>
      </c>
      <c r="B88" s="20">
        <v>45631.0</v>
      </c>
      <c r="C88" s="7">
        <v>14.0</v>
      </c>
      <c r="D88" s="7" t="s">
        <v>57</v>
      </c>
      <c r="E88" s="7">
        <v>4.0</v>
      </c>
      <c r="F88" s="7" t="s">
        <v>38</v>
      </c>
      <c r="G88" s="7">
        <v>0.0</v>
      </c>
      <c r="H88" s="11" t="s">
        <v>55</v>
      </c>
      <c r="I88" s="7" t="s">
        <v>84</v>
      </c>
      <c r="J88" s="21" t="s">
        <v>57</v>
      </c>
      <c r="K88" s="21">
        <v>1.3</v>
      </c>
      <c r="L88" s="4">
        <v>2.0</v>
      </c>
      <c r="M88" s="7" t="s">
        <v>34</v>
      </c>
      <c r="N88" s="22">
        <v>2.6</v>
      </c>
      <c r="O88" s="22">
        <f t="shared" si="6"/>
        <v>0.6</v>
      </c>
      <c r="P88" s="23">
        <f t="shared" si="5"/>
        <v>283.31</v>
      </c>
      <c r="Q88" s="23">
        <f t="shared" si="1"/>
        <v>-16.7</v>
      </c>
      <c r="R88" s="9">
        <f t="shared" si="2"/>
        <v>-0.05563333333</v>
      </c>
      <c r="S88" s="24" t="s">
        <v>35</v>
      </c>
      <c r="T88" s="24" t="s">
        <v>36</v>
      </c>
      <c r="U88" s="11" t="str">
        <f t="shared" si="3"/>
        <v>Thursday</v>
      </c>
      <c r="W88" s="11" t="str">
        <f t="shared" si="4"/>
        <v>Handicap</v>
      </c>
    </row>
    <row r="89">
      <c r="A89" s="7">
        <v>88.0</v>
      </c>
      <c r="B89" s="20">
        <v>45634.0</v>
      </c>
      <c r="C89" s="7">
        <v>15.0</v>
      </c>
      <c r="D89" s="7" t="s">
        <v>42</v>
      </c>
      <c r="E89" s="7">
        <v>1.0</v>
      </c>
      <c r="F89" s="7" t="s">
        <v>88</v>
      </c>
      <c r="G89" s="7">
        <v>0.0</v>
      </c>
      <c r="H89" s="11" t="s">
        <v>55</v>
      </c>
      <c r="I89" s="7" t="s">
        <v>111</v>
      </c>
      <c r="J89" s="21" t="s">
        <v>42</v>
      </c>
      <c r="K89" s="21">
        <v>1.8</v>
      </c>
      <c r="L89" s="4">
        <v>2.0</v>
      </c>
      <c r="M89" s="7" t="s">
        <v>44</v>
      </c>
      <c r="N89" s="22">
        <v>0.0</v>
      </c>
      <c r="O89" s="22">
        <f t="shared" si="6"/>
        <v>-2</v>
      </c>
      <c r="P89" s="23">
        <f t="shared" si="5"/>
        <v>281.31</v>
      </c>
      <c r="Q89" s="23">
        <f t="shared" si="1"/>
        <v>-18.7</v>
      </c>
      <c r="R89" s="9">
        <f t="shared" si="2"/>
        <v>-0.0623</v>
      </c>
      <c r="S89" s="24" t="s">
        <v>35</v>
      </c>
      <c r="T89" s="24" t="s">
        <v>36</v>
      </c>
      <c r="U89" s="11" t="str">
        <f t="shared" si="3"/>
        <v>Sunday</v>
      </c>
      <c r="W89" s="11" t="str">
        <f t="shared" si="4"/>
        <v>Handicap</v>
      </c>
    </row>
    <row r="90">
      <c r="A90" s="7">
        <v>90.0</v>
      </c>
      <c r="B90" s="20">
        <v>45634.0</v>
      </c>
      <c r="C90" s="7">
        <v>15.0</v>
      </c>
      <c r="D90" s="7" t="s">
        <v>46</v>
      </c>
      <c r="E90" s="7">
        <v>2.0</v>
      </c>
      <c r="F90" s="7" t="s">
        <v>53</v>
      </c>
      <c r="G90" s="7">
        <v>2.0</v>
      </c>
      <c r="H90" s="11" t="s">
        <v>33</v>
      </c>
      <c r="I90" s="7" t="s">
        <v>53</v>
      </c>
      <c r="J90" s="21" t="s">
        <v>53</v>
      </c>
      <c r="K90" s="21">
        <v>1.57</v>
      </c>
      <c r="L90" s="4">
        <v>2.0</v>
      </c>
      <c r="M90" s="7" t="s">
        <v>44</v>
      </c>
      <c r="N90" s="22">
        <v>0.0</v>
      </c>
      <c r="O90" s="22">
        <f t="shared" si="6"/>
        <v>-2</v>
      </c>
      <c r="P90" s="23">
        <f t="shared" si="5"/>
        <v>279.31</v>
      </c>
      <c r="Q90" s="23">
        <f t="shared" si="1"/>
        <v>-20.7</v>
      </c>
      <c r="R90" s="9">
        <f t="shared" si="2"/>
        <v>-0.06896666667</v>
      </c>
      <c r="S90" s="24" t="s">
        <v>35</v>
      </c>
      <c r="T90" s="24" t="s">
        <v>36</v>
      </c>
      <c r="U90" s="11" t="str">
        <f t="shared" si="3"/>
        <v>Sunday</v>
      </c>
      <c r="W90" s="11" t="str">
        <f t="shared" si="4"/>
        <v>Full Time Result</v>
      </c>
    </row>
    <row r="91">
      <c r="A91" s="7">
        <v>91.0</v>
      </c>
      <c r="B91" s="20">
        <v>45635.0</v>
      </c>
      <c r="C91" s="7">
        <v>15.0</v>
      </c>
      <c r="D91" s="7" t="s">
        <v>32</v>
      </c>
      <c r="E91" s="7">
        <v>1.0</v>
      </c>
      <c r="F91" s="7" t="s">
        <v>37</v>
      </c>
      <c r="G91" s="7">
        <v>1.0</v>
      </c>
      <c r="H91" s="11" t="s">
        <v>33</v>
      </c>
      <c r="I91" s="7" t="s">
        <v>37</v>
      </c>
      <c r="J91" s="21" t="s">
        <v>37</v>
      </c>
      <c r="K91" s="21">
        <v>1.57</v>
      </c>
      <c r="L91" s="4">
        <v>2.0</v>
      </c>
      <c r="M91" s="7" t="s">
        <v>44</v>
      </c>
      <c r="N91" s="22">
        <v>0.0</v>
      </c>
      <c r="O91" s="22">
        <f t="shared" si="6"/>
        <v>-2</v>
      </c>
      <c r="P91" s="23">
        <f t="shared" si="5"/>
        <v>277.31</v>
      </c>
      <c r="Q91" s="23">
        <f t="shared" si="1"/>
        <v>-22.7</v>
      </c>
      <c r="R91" s="9">
        <f t="shared" si="2"/>
        <v>-0.07563333333</v>
      </c>
      <c r="S91" s="24" t="s">
        <v>35</v>
      </c>
      <c r="T91" s="24" t="s">
        <v>36</v>
      </c>
      <c r="U91" s="11" t="str">
        <f t="shared" si="3"/>
        <v>Monday</v>
      </c>
      <c r="W91" s="11" t="str">
        <f t="shared" si="4"/>
        <v>Full Time Result</v>
      </c>
    </row>
    <row r="92">
      <c r="A92" s="7">
        <v>92.0</v>
      </c>
      <c r="B92" s="20">
        <v>45635.0</v>
      </c>
      <c r="C92" s="7">
        <v>15.0</v>
      </c>
      <c r="D92" s="7" t="s">
        <v>49</v>
      </c>
      <c r="E92" s="7">
        <v>2.0</v>
      </c>
      <c r="F92" s="7" t="s">
        <v>51</v>
      </c>
      <c r="G92" s="7">
        <v>2.0</v>
      </c>
      <c r="H92" s="11" t="s">
        <v>82</v>
      </c>
      <c r="I92" s="7" t="s">
        <v>83</v>
      </c>
      <c r="J92" s="21" t="s">
        <v>70</v>
      </c>
      <c r="K92" s="21">
        <v>1.61</v>
      </c>
      <c r="L92" s="4">
        <v>2.0</v>
      </c>
      <c r="M92" s="7" t="s">
        <v>34</v>
      </c>
      <c r="N92" s="22">
        <v>3.24</v>
      </c>
      <c r="O92" s="22">
        <f t="shared" si="6"/>
        <v>1.24</v>
      </c>
      <c r="P92" s="23">
        <f t="shared" si="5"/>
        <v>278.55</v>
      </c>
      <c r="Q92" s="23">
        <f t="shared" si="1"/>
        <v>-21.46</v>
      </c>
      <c r="R92" s="9">
        <f t="shared" si="2"/>
        <v>-0.0715</v>
      </c>
      <c r="S92" s="24" t="s">
        <v>35</v>
      </c>
      <c r="T92" s="24" t="s">
        <v>36</v>
      </c>
      <c r="U92" s="11" t="str">
        <f t="shared" si="3"/>
        <v>Monday</v>
      </c>
      <c r="W92" s="11" t="str">
        <f t="shared" si="4"/>
        <v>BTTS</v>
      </c>
    </row>
    <row r="93">
      <c r="A93" s="7">
        <v>93.0</v>
      </c>
      <c r="B93" s="20">
        <v>45635.0</v>
      </c>
      <c r="C93" s="7">
        <v>15.0</v>
      </c>
      <c r="D93" s="7" t="s">
        <v>50</v>
      </c>
      <c r="E93" s="7">
        <v>3.0</v>
      </c>
      <c r="F93" s="7" t="s">
        <v>69</v>
      </c>
      <c r="G93" s="7">
        <v>4.0</v>
      </c>
      <c r="H93" s="7" t="s">
        <v>33</v>
      </c>
      <c r="I93" s="7" t="s">
        <v>50</v>
      </c>
      <c r="J93" s="21" t="s">
        <v>50</v>
      </c>
      <c r="K93" s="21">
        <v>3.3</v>
      </c>
      <c r="L93" s="4">
        <v>1.0</v>
      </c>
      <c r="M93" s="7" t="s">
        <v>34</v>
      </c>
      <c r="N93" s="22">
        <v>3.3</v>
      </c>
      <c r="O93" s="22">
        <f t="shared" si="6"/>
        <v>2.3</v>
      </c>
      <c r="P93" s="23">
        <f t="shared" si="5"/>
        <v>280.85</v>
      </c>
      <c r="Q93" s="23">
        <f t="shared" si="1"/>
        <v>-19.16</v>
      </c>
      <c r="R93" s="9">
        <f t="shared" si="2"/>
        <v>-0.06383333333</v>
      </c>
      <c r="S93" s="24" t="s">
        <v>35</v>
      </c>
      <c r="T93" s="24" t="s">
        <v>36</v>
      </c>
      <c r="U93" s="11" t="str">
        <f t="shared" si="3"/>
        <v>Monday</v>
      </c>
      <c r="W93" s="11" t="str">
        <f t="shared" si="4"/>
        <v>Full Time Result</v>
      </c>
    </row>
    <row r="94">
      <c r="A94" s="7">
        <v>94.0</v>
      </c>
      <c r="B94" s="20">
        <v>45641.0</v>
      </c>
      <c r="C94" s="7">
        <v>16.0</v>
      </c>
      <c r="D94" s="7" t="s">
        <v>70</v>
      </c>
      <c r="F94" s="7" t="s">
        <v>70</v>
      </c>
      <c r="H94" s="7" t="s">
        <v>112</v>
      </c>
      <c r="I94" s="7" t="s">
        <v>113</v>
      </c>
      <c r="J94" s="21" t="s">
        <v>70</v>
      </c>
      <c r="K94" s="21">
        <v>4.68</v>
      </c>
      <c r="L94" s="4">
        <v>1.0</v>
      </c>
      <c r="M94" s="7" t="s">
        <v>44</v>
      </c>
      <c r="N94" s="22">
        <v>0.0</v>
      </c>
      <c r="O94" s="22">
        <f t="shared" si="6"/>
        <v>-1</v>
      </c>
      <c r="P94" s="23">
        <f t="shared" si="5"/>
        <v>279.85</v>
      </c>
      <c r="Q94" s="23">
        <f t="shared" si="1"/>
        <v>-20.16</v>
      </c>
      <c r="R94" s="9">
        <f t="shared" si="2"/>
        <v>-0.06716666667</v>
      </c>
      <c r="S94" s="24" t="s">
        <v>35</v>
      </c>
      <c r="T94" s="24" t="s">
        <v>36</v>
      </c>
      <c r="U94" s="11" t="str">
        <f t="shared" si="3"/>
        <v>Sunday</v>
      </c>
      <c r="W94" s="11" t="str">
        <f t="shared" si="4"/>
        <v>Accumulator</v>
      </c>
    </row>
    <row r="95">
      <c r="A95" s="7">
        <v>95.0</v>
      </c>
      <c r="B95" s="20">
        <v>45641.0</v>
      </c>
      <c r="C95" s="7">
        <v>16.0</v>
      </c>
      <c r="D95" s="7" t="s">
        <v>70</v>
      </c>
      <c r="F95" s="7" t="s">
        <v>70</v>
      </c>
      <c r="H95" s="7" t="s">
        <v>112</v>
      </c>
      <c r="I95" s="7" t="s">
        <v>114</v>
      </c>
      <c r="J95" s="21" t="s">
        <v>70</v>
      </c>
      <c r="K95" s="21">
        <v>3.43</v>
      </c>
      <c r="L95" s="4">
        <v>1.0</v>
      </c>
      <c r="M95" s="7" t="s">
        <v>44</v>
      </c>
      <c r="N95" s="22">
        <v>0.0</v>
      </c>
      <c r="O95" s="22">
        <f t="shared" si="6"/>
        <v>-1</v>
      </c>
      <c r="P95" s="23">
        <f t="shared" si="5"/>
        <v>278.85</v>
      </c>
      <c r="Q95" s="23">
        <f t="shared" si="1"/>
        <v>-21.16</v>
      </c>
      <c r="R95" s="9">
        <f t="shared" si="2"/>
        <v>-0.0705</v>
      </c>
      <c r="S95" s="24" t="s">
        <v>35</v>
      </c>
      <c r="T95" s="24" t="s">
        <v>36</v>
      </c>
      <c r="U95" s="11" t="str">
        <f t="shared" si="3"/>
        <v>Sunday</v>
      </c>
      <c r="W95" s="11" t="str">
        <f t="shared" si="4"/>
        <v>Accumulator</v>
      </c>
    </row>
    <row r="96">
      <c r="A96" s="7">
        <v>96.0</v>
      </c>
      <c r="B96" s="20">
        <v>45641.0</v>
      </c>
      <c r="C96" s="7">
        <v>16.0</v>
      </c>
      <c r="D96" s="7" t="s">
        <v>70</v>
      </c>
      <c r="F96" s="7" t="s">
        <v>70</v>
      </c>
      <c r="H96" s="7" t="s">
        <v>112</v>
      </c>
      <c r="I96" s="7" t="s">
        <v>115</v>
      </c>
      <c r="J96" s="21" t="s">
        <v>70</v>
      </c>
      <c r="K96" s="21">
        <v>2.82</v>
      </c>
      <c r="L96" s="4">
        <v>1.0</v>
      </c>
      <c r="M96" s="7" t="s">
        <v>44</v>
      </c>
      <c r="N96" s="22">
        <v>0.0</v>
      </c>
      <c r="O96" s="22">
        <f t="shared" si="6"/>
        <v>-1</v>
      </c>
      <c r="P96" s="23">
        <f t="shared" si="5"/>
        <v>277.85</v>
      </c>
      <c r="Q96" s="23">
        <f t="shared" si="1"/>
        <v>-22.16</v>
      </c>
      <c r="R96" s="9">
        <f t="shared" si="2"/>
        <v>-0.07383333333</v>
      </c>
      <c r="S96" s="24" t="s">
        <v>35</v>
      </c>
      <c r="T96" s="24" t="s">
        <v>36</v>
      </c>
      <c r="U96" s="11" t="str">
        <f t="shared" si="3"/>
        <v>Sunday</v>
      </c>
      <c r="W96" s="11" t="str">
        <f t="shared" si="4"/>
        <v>Accumulator</v>
      </c>
    </row>
    <row r="97">
      <c r="A97" s="7">
        <v>97.0</v>
      </c>
      <c r="B97" s="20">
        <v>45641.0</v>
      </c>
      <c r="C97" s="7">
        <v>16.0</v>
      </c>
      <c r="D97" s="7" t="s">
        <v>70</v>
      </c>
      <c r="F97" s="7" t="s">
        <v>70</v>
      </c>
      <c r="H97" s="7" t="s">
        <v>112</v>
      </c>
      <c r="I97" s="7" t="s">
        <v>116</v>
      </c>
      <c r="J97" s="21" t="s">
        <v>70</v>
      </c>
      <c r="K97" s="21">
        <v>3.56</v>
      </c>
      <c r="L97" s="4">
        <v>1.0</v>
      </c>
      <c r="M97" s="7" t="s">
        <v>44</v>
      </c>
      <c r="N97" s="22">
        <v>0.0</v>
      </c>
      <c r="O97" s="22">
        <f t="shared" si="6"/>
        <v>-1</v>
      </c>
      <c r="P97" s="23">
        <f t="shared" si="5"/>
        <v>276.85</v>
      </c>
      <c r="Q97" s="23">
        <f t="shared" si="1"/>
        <v>-23.16</v>
      </c>
      <c r="R97" s="9">
        <f t="shared" si="2"/>
        <v>-0.07716666667</v>
      </c>
      <c r="S97" s="24" t="s">
        <v>35</v>
      </c>
      <c r="T97" s="24" t="s">
        <v>36</v>
      </c>
      <c r="U97" s="11" t="str">
        <f t="shared" si="3"/>
        <v>Sunday</v>
      </c>
      <c r="W97" s="11" t="str">
        <f t="shared" si="4"/>
        <v>Accumulator</v>
      </c>
    </row>
    <row r="98">
      <c r="A98" s="7">
        <v>98.0</v>
      </c>
      <c r="B98" s="20">
        <v>45641.0</v>
      </c>
      <c r="C98" s="7">
        <v>16.0</v>
      </c>
      <c r="D98" s="7" t="s">
        <v>70</v>
      </c>
      <c r="F98" s="7" t="s">
        <v>70</v>
      </c>
      <c r="H98" s="7" t="s">
        <v>112</v>
      </c>
      <c r="I98" s="7" t="s">
        <v>117</v>
      </c>
      <c r="J98" s="21" t="s">
        <v>70</v>
      </c>
      <c r="K98" s="21">
        <v>3.56</v>
      </c>
      <c r="L98" s="4">
        <v>1.0</v>
      </c>
      <c r="M98" s="7" t="s">
        <v>44</v>
      </c>
      <c r="N98" s="22">
        <v>0.0</v>
      </c>
      <c r="O98" s="22">
        <f t="shared" si="6"/>
        <v>-1</v>
      </c>
      <c r="P98" s="23">
        <f t="shared" si="5"/>
        <v>275.85</v>
      </c>
      <c r="Q98" s="23">
        <f t="shared" si="1"/>
        <v>-24.16</v>
      </c>
      <c r="R98" s="9">
        <f t="shared" si="2"/>
        <v>-0.0805</v>
      </c>
      <c r="S98" s="24" t="s">
        <v>35</v>
      </c>
      <c r="T98" s="24" t="s">
        <v>36</v>
      </c>
      <c r="U98" s="11" t="str">
        <f t="shared" si="3"/>
        <v>Sunday</v>
      </c>
      <c r="W98" s="11" t="str">
        <f t="shared" si="4"/>
        <v>Accumulator</v>
      </c>
    </row>
    <row r="99">
      <c r="A99" s="7">
        <v>99.0</v>
      </c>
      <c r="B99" s="20">
        <v>45641.0</v>
      </c>
      <c r="C99" s="7">
        <v>16.0</v>
      </c>
      <c r="D99" s="7" t="s">
        <v>70</v>
      </c>
      <c r="F99" s="7" t="s">
        <v>70</v>
      </c>
      <c r="H99" s="7" t="s">
        <v>112</v>
      </c>
      <c r="I99" s="7" t="s">
        <v>118</v>
      </c>
      <c r="J99" s="21" t="s">
        <v>70</v>
      </c>
      <c r="K99" s="21">
        <v>3.75</v>
      </c>
      <c r="L99" s="4">
        <v>1.0</v>
      </c>
      <c r="M99" s="7" t="s">
        <v>44</v>
      </c>
      <c r="N99" s="22">
        <v>0.0</v>
      </c>
      <c r="O99" s="22">
        <f t="shared" si="6"/>
        <v>-1</v>
      </c>
      <c r="P99" s="23">
        <f t="shared" si="5"/>
        <v>274.85</v>
      </c>
      <c r="Q99" s="23">
        <f t="shared" si="1"/>
        <v>-25.16</v>
      </c>
      <c r="R99" s="9">
        <f t="shared" si="2"/>
        <v>-0.08383333333</v>
      </c>
      <c r="S99" s="24" t="s">
        <v>35</v>
      </c>
      <c r="T99" s="24" t="s">
        <v>36</v>
      </c>
      <c r="U99" s="11" t="str">
        <f t="shared" si="3"/>
        <v>Sunday</v>
      </c>
      <c r="W99" s="11" t="str">
        <f t="shared" si="4"/>
        <v>Accumulator</v>
      </c>
    </row>
    <row r="100">
      <c r="A100" s="7">
        <v>100.0</v>
      </c>
      <c r="B100" s="20">
        <v>45641.0</v>
      </c>
      <c r="C100" s="7">
        <v>16.0</v>
      </c>
      <c r="D100" s="7" t="s">
        <v>70</v>
      </c>
      <c r="F100" s="7" t="s">
        <v>70</v>
      </c>
      <c r="H100" s="7" t="s">
        <v>112</v>
      </c>
      <c r="I100" s="7" t="s">
        <v>119</v>
      </c>
      <c r="J100" s="21" t="s">
        <v>70</v>
      </c>
      <c r="K100" s="21">
        <v>2.07</v>
      </c>
      <c r="L100" s="4">
        <v>1.0</v>
      </c>
      <c r="M100" s="7" t="s">
        <v>44</v>
      </c>
      <c r="N100" s="22">
        <v>0.0</v>
      </c>
      <c r="O100" s="22">
        <f t="shared" si="6"/>
        <v>-1</v>
      </c>
      <c r="P100" s="23">
        <f t="shared" si="5"/>
        <v>273.85</v>
      </c>
      <c r="Q100" s="23">
        <f t="shared" si="1"/>
        <v>-26.16</v>
      </c>
      <c r="R100" s="9">
        <f t="shared" si="2"/>
        <v>-0.08716666667</v>
      </c>
      <c r="S100" s="24" t="s">
        <v>35</v>
      </c>
      <c r="T100" s="24" t="s">
        <v>36</v>
      </c>
      <c r="U100" s="11" t="str">
        <f t="shared" si="3"/>
        <v>Sunday</v>
      </c>
      <c r="W100" s="11" t="str">
        <f t="shared" si="4"/>
        <v>Accumulator</v>
      </c>
    </row>
    <row r="101">
      <c r="A101" s="7">
        <v>101.0</v>
      </c>
      <c r="B101" s="20">
        <v>45641.0</v>
      </c>
      <c r="C101" s="7">
        <v>16.0</v>
      </c>
      <c r="D101" s="7" t="s">
        <v>70</v>
      </c>
      <c r="F101" s="7" t="s">
        <v>70</v>
      </c>
      <c r="H101" s="7" t="s">
        <v>112</v>
      </c>
      <c r="I101" s="7" t="s">
        <v>120</v>
      </c>
      <c r="J101" s="21" t="s">
        <v>70</v>
      </c>
      <c r="K101" s="21">
        <v>2.15</v>
      </c>
      <c r="L101" s="4">
        <v>1.0</v>
      </c>
      <c r="M101" s="7" t="s">
        <v>44</v>
      </c>
      <c r="N101" s="22">
        <v>0.0</v>
      </c>
      <c r="O101" s="22">
        <f t="shared" si="6"/>
        <v>-1</v>
      </c>
      <c r="P101" s="23">
        <f t="shared" si="5"/>
        <v>272.85</v>
      </c>
      <c r="Q101" s="23">
        <f t="shared" si="1"/>
        <v>-27.16</v>
      </c>
      <c r="R101" s="9">
        <f t="shared" si="2"/>
        <v>-0.0905</v>
      </c>
      <c r="S101" s="24" t="s">
        <v>35</v>
      </c>
      <c r="T101" s="24" t="s">
        <v>36</v>
      </c>
      <c r="U101" s="11" t="str">
        <f t="shared" si="3"/>
        <v>Sunday</v>
      </c>
      <c r="W101" s="11" t="str">
        <f t="shared" si="4"/>
        <v>Accumulator</v>
      </c>
    </row>
    <row r="102">
      <c r="A102" s="7">
        <v>102.0</v>
      </c>
      <c r="B102" s="20">
        <v>45641.0</v>
      </c>
      <c r="C102" s="7">
        <v>16.0</v>
      </c>
      <c r="D102" s="7" t="s">
        <v>70</v>
      </c>
      <c r="F102" s="7" t="s">
        <v>70</v>
      </c>
      <c r="H102" s="7" t="s">
        <v>112</v>
      </c>
      <c r="I102" s="7" t="s">
        <v>121</v>
      </c>
      <c r="J102" s="21" t="s">
        <v>70</v>
      </c>
      <c r="K102" s="21">
        <v>2.15</v>
      </c>
      <c r="L102" s="4">
        <v>1.0</v>
      </c>
      <c r="M102" s="7" t="s">
        <v>44</v>
      </c>
      <c r="N102" s="22">
        <v>0.0</v>
      </c>
      <c r="O102" s="22">
        <f t="shared" si="6"/>
        <v>-1</v>
      </c>
      <c r="P102" s="23">
        <f t="shared" si="5"/>
        <v>271.85</v>
      </c>
      <c r="Q102" s="23">
        <f t="shared" si="1"/>
        <v>-28.16</v>
      </c>
      <c r="R102" s="9">
        <f t="shared" si="2"/>
        <v>-0.09383333333</v>
      </c>
      <c r="S102" s="24" t="s">
        <v>35</v>
      </c>
      <c r="T102" s="24" t="s">
        <v>36</v>
      </c>
      <c r="U102" s="11" t="str">
        <f t="shared" si="3"/>
        <v>Sunday</v>
      </c>
      <c r="W102" s="11" t="str">
        <f t="shared" si="4"/>
        <v>Accumulator</v>
      </c>
    </row>
    <row r="103">
      <c r="A103" s="7">
        <v>103.0</v>
      </c>
      <c r="B103" s="20">
        <v>45641.0</v>
      </c>
      <c r="C103" s="7">
        <v>16.0</v>
      </c>
      <c r="D103" s="7" t="s">
        <v>70</v>
      </c>
      <c r="F103" s="7" t="s">
        <v>70</v>
      </c>
      <c r="H103" s="7" t="s">
        <v>112</v>
      </c>
      <c r="I103" s="7" t="s">
        <v>122</v>
      </c>
      <c r="J103" s="21" t="s">
        <v>70</v>
      </c>
      <c r="K103" s="21">
        <v>2.26</v>
      </c>
      <c r="L103" s="4">
        <v>1.0</v>
      </c>
      <c r="M103" s="7" t="s">
        <v>44</v>
      </c>
      <c r="N103" s="22">
        <v>0.0</v>
      </c>
      <c r="O103" s="22">
        <f t="shared" si="6"/>
        <v>-1</v>
      </c>
      <c r="P103" s="23">
        <f t="shared" si="5"/>
        <v>270.85</v>
      </c>
      <c r="Q103" s="23">
        <f t="shared" si="1"/>
        <v>-29.16</v>
      </c>
      <c r="R103" s="9">
        <f t="shared" si="2"/>
        <v>-0.09716666667</v>
      </c>
      <c r="S103" s="24" t="s">
        <v>35</v>
      </c>
      <c r="T103" s="24" t="s">
        <v>36</v>
      </c>
      <c r="U103" s="11" t="str">
        <f t="shared" si="3"/>
        <v>Sunday</v>
      </c>
      <c r="W103" s="11" t="str">
        <f t="shared" si="4"/>
        <v>Accumulator</v>
      </c>
    </row>
    <row r="104">
      <c r="A104" s="7">
        <v>104.0</v>
      </c>
      <c r="B104" s="20">
        <v>45648.0</v>
      </c>
      <c r="C104" s="7">
        <v>17.0</v>
      </c>
      <c r="D104" s="7" t="s">
        <v>42</v>
      </c>
      <c r="E104" s="7">
        <v>2.0</v>
      </c>
      <c r="F104" s="7" t="s">
        <v>53</v>
      </c>
      <c r="G104" s="7">
        <v>1.0</v>
      </c>
      <c r="H104" s="7" t="s">
        <v>52</v>
      </c>
      <c r="I104" s="7" t="s">
        <v>53</v>
      </c>
      <c r="J104" s="21" t="s">
        <v>53</v>
      </c>
      <c r="K104" s="21">
        <v>1.61</v>
      </c>
      <c r="L104" s="4">
        <v>2.0</v>
      </c>
      <c r="M104" s="7" t="s">
        <v>44</v>
      </c>
      <c r="N104" s="22">
        <v>0.0</v>
      </c>
      <c r="O104" s="22">
        <f t="shared" si="6"/>
        <v>-2</v>
      </c>
      <c r="P104" s="23">
        <f t="shared" si="5"/>
        <v>268.85</v>
      </c>
      <c r="Q104" s="23">
        <f t="shared" si="1"/>
        <v>-31.16</v>
      </c>
      <c r="R104" s="9">
        <f t="shared" si="2"/>
        <v>-0.1038333333</v>
      </c>
      <c r="S104" s="24" t="s">
        <v>35</v>
      </c>
      <c r="T104" s="24" t="s">
        <v>36</v>
      </c>
      <c r="U104" s="11" t="str">
        <f t="shared" si="3"/>
        <v>Sunday</v>
      </c>
      <c r="W104" s="11" t="str">
        <f t="shared" si="4"/>
        <v>Draw No Bet</v>
      </c>
    </row>
    <row r="105">
      <c r="A105" s="7">
        <v>105.0</v>
      </c>
      <c r="B105" s="20">
        <v>45648.0</v>
      </c>
      <c r="C105" s="7">
        <v>17.0</v>
      </c>
      <c r="D105" s="7" t="s">
        <v>45</v>
      </c>
      <c r="E105" s="7">
        <v>0.0</v>
      </c>
      <c r="F105" s="7" t="s">
        <v>78</v>
      </c>
      <c r="G105" s="7">
        <v>2.0</v>
      </c>
      <c r="H105" s="7" t="s">
        <v>55</v>
      </c>
      <c r="I105" s="7" t="s">
        <v>103</v>
      </c>
      <c r="J105" s="21" t="s">
        <v>78</v>
      </c>
      <c r="K105" s="21">
        <v>1.53</v>
      </c>
      <c r="L105" s="4">
        <v>2.0</v>
      </c>
      <c r="M105" s="7" t="s">
        <v>34</v>
      </c>
      <c r="N105" s="22">
        <v>3.07</v>
      </c>
      <c r="O105" s="22">
        <f t="shared" si="6"/>
        <v>1.07</v>
      </c>
      <c r="P105" s="23">
        <f t="shared" si="5"/>
        <v>269.92</v>
      </c>
      <c r="Q105" s="23">
        <f t="shared" si="1"/>
        <v>-30.09</v>
      </c>
      <c r="R105" s="9">
        <f t="shared" si="2"/>
        <v>-0.1002666667</v>
      </c>
      <c r="S105" s="24" t="s">
        <v>35</v>
      </c>
      <c r="T105" s="24" t="s">
        <v>36</v>
      </c>
      <c r="U105" s="11" t="str">
        <f t="shared" si="3"/>
        <v>Sunday</v>
      </c>
      <c r="W105" s="11" t="str">
        <f t="shared" si="4"/>
        <v>Handicap</v>
      </c>
    </row>
    <row r="106">
      <c r="A106" s="7">
        <v>106.0</v>
      </c>
      <c r="B106" s="20">
        <v>45648.0</v>
      </c>
      <c r="C106" s="7">
        <v>17.0</v>
      </c>
      <c r="D106" s="7" t="s">
        <v>54</v>
      </c>
      <c r="E106" s="7">
        <v>0.0</v>
      </c>
      <c r="F106" s="7" t="s">
        <v>59</v>
      </c>
      <c r="G106" s="7">
        <v>4.0</v>
      </c>
      <c r="H106" s="7" t="s">
        <v>33</v>
      </c>
      <c r="I106" s="7" t="s">
        <v>59</v>
      </c>
      <c r="J106" s="21" t="s">
        <v>59</v>
      </c>
      <c r="K106" s="21">
        <v>1.65</v>
      </c>
      <c r="L106" s="4">
        <v>2.0</v>
      </c>
      <c r="M106" s="7" t="s">
        <v>34</v>
      </c>
      <c r="N106" s="22">
        <v>3.3</v>
      </c>
      <c r="O106" s="22">
        <f t="shared" si="6"/>
        <v>1.3</v>
      </c>
      <c r="P106" s="23">
        <f t="shared" si="5"/>
        <v>271.22</v>
      </c>
      <c r="Q106" s="23">
        <f t="shared" si="1"/>
        <v>-28.79</v>
      </c>
      <c r="R106" s="9">
        <f t="shared" si="2"/>
        <v>-0.09593333333</v>
      </c>
      <c r="S106" s="24" t="s">
        <v>35</v>
      </c>
      <c r="T106" s="24" t="s">
        <v>36</v>
      </c>
      <c r="U106" s="11" t="str">
        <f t="shared" si="3"/>
        <v>Sunday</v>
      </c>
      <c r="W106" s="11" t="str">
        <f t="shared" si="4"/>
        <v>Full Time Result</v>
      </c>
    </row>
    <row r="107">
      <c r="A107" s="7">
        <v>107.0</v>
      </c>
      <c r="B107" s="20">
        <v>45648.0</v>
      </c>
      <c r="C107" s="7">
        <v>17.0</v>
      </c>
      <c r="D107" s="7" t="s">
        <v>46</v>
      </c>
      <c r="F107" s="7" t="s">
        <v>37</v>
      </c>
      <c r="H107" s="7" t="s">
        <v>82</v>
      </c>
      <c r="I107" s="7" t="s">
        <v>83</v>
      </c>
      <c r="J107" s="21" t="s">
        <v>70</v>
      </c>
      <c r="K107" s="21">
        <v>1.95</v>
      </c>
      <c r="L107" s="4">
        <v>2.0</v>
      </c>
      <c r="M107" s="7" t="s">
        <v>34</v>
      </c>
      <c r="N107" s="22">
        <v>3.9</v>
      </c>
      <c r="O107" s="22">
        <f t="shared" si="6"/>
        <v>1.9</v>
      </c>
      <c r="P107" s="23">
        <f t="shared" si="5"/>
        <v>273.12</v>
      </c>
      <c r="Q107" s="23">
        <f t="shared" si="1"/>
        <v>-26.89</v>
      </c>
      <c r="R107" s="9">
        <f t="shared" si="2"/>
        <v>-0.0896</v>
      </c>
      <c r="S107" s="24" t="s">
        <v>35</v>
      </c>
      <c r="T107" s="24" t="s">
        <v>36</v>
      </c>
      <c r="U107" s="11" t="str">
        <f t="shared" si="3"/>
        <v>Sunday</v>
      </c>
      <c r="W107" s="11" t="str">
        <f t="shared" si="4"/>
        <v>BTTS</v>
      </c>
    </row>
    <row r="108">
      <c r="A108" s="7">
        <v>108.0</v>
      </c>
      <c r="B108" s="20">
        <v>45649.0</v>
      </c>
      <c r="C108" s="7">
        <v>17.0</v>
      </c>
      <c r="D108" s="7" t="s">
        <v>57</v>
      </c>
      <c r="F108" s="7" t="s">
        <v>69</v>
      </c>
      <c r="H108" s="7" t="s">
        <v>33</v>
      </c>
      <c r="I108" s="7" t="s">
        <v>69</v>
      </c>
      <c r="J108" s="21" t="s">
        <v>69</v>
      </c>
      <c r="K108" s="21">
        <v>1.61</v>
      </c>
      <c r="L108" s="4">
        <v>2.0</v>
      </c>
      <c r="M108" s="7" t="s">
        <v>44</v>
      </c>
      <c r="N108" s="22">
        <v>0.0</v>
      </c>
      <c r="O108" s="22">
        <f t="shared" si="6"/>
        <v>-2</v>
      </c>
      <c r="P108" s="23">
        <f t="shared" si="5"/>
        <v>271.12</v>
      </c>
      <c r="Q108" s="23">
        <f t="shared" si="1"/>
        <v>-28.89</v>
      </c>
      <c r="R108" s="9">
        <f t="shared" si="2"/>
        <v>-0.09626666667</v>
      </c>
      <c r="S108" s="24" t="s">
        <v>35</v>
      </c>
      <c r="T108" s="24" t="s">
        <v>36</v>
      </c>
      <c r="U108" s="11" t="str">
        <f t="shared" si="3"/>
        <v>Monday</v>
      </c>
      <c r="W108" s="11" t="str">
        <f t="shared" si="4"/>
        <v>Full Time Result</v>
      </c>
    </row>
    <row r="109">
      <c r="A109" s="7">
        <v>109.0</v>
      </c>
      <c r="B109" s="20">
        <v>45649.0</v>
      </c>
      <c r="C109" s="7">
        <v>17.0</v>
      </c>
      <c r="D109" s="7" t="s">
        <v>31</v>
      </c>
      <c r="F109" s="7" t="s">
        <v>58</v>
      </c>
      <c r="H109" s="7" t="s">
        <v>33</v>
      </c>
      <c r="I109" s="7" t="s">
        <v>31</v>
      </c>
      <c r="J109" s="21" t="s">
        <v>31</v>
      </c>
      <c r="K109" s="21">
        <v>1.8</v>
      </c>
      <c r="L109" s="4">
        <v>2.0</v>
      </c>
      <c r="M109" s="7" t="s">
        <v>44</v>
      </c>
      <c r="N109" s="22">
        <v>0.0</v>
      </c>
      <c r="O109" s="22">
        <f t="shared" si="6"/>
        <v>-2</v>
      </c>
      <c r="P109" s="23">
        <f t="shared" si="5"/>
        <v>269.12</v>
      </c>
      <c r="Q109" s="23">
        <f t="shared" si="1"/>
        <v>-30.89</v>
      </c>
      <c r="R109" s="9">
        <f t="shared" si="2"/>
        <v>-0.1029333333</v>
      </c>
      <c r="S109" s="24" t="s">
        <v>35</v>
      </c>
      <c r="T109" s="24" t="s">
        <v>36</v>
      </c>
      <c r="U109" s="11" t="str">
        <f t="shared" si="3"/>
        <v>Monday</v>
      </c>
      <c r="W109" s="11" t="str">
        <f t="shared" si="4"/>
        <v>Full Time Result</v>
      </c>
    </row>
    <row r="110">
      <c r="A110" s="7">
        <v>110.0</v>
      </c>
      <c r="B110" s="20">
        <v>45653.0</v>
      </c>
      <c r="C110" s="7">
        <v>18.0</v>
      </c>
      <c r="D110" s="7" t="s">
        <v>78</v>
      </c>
      <c r="F110" s="7" t="s">
        <v>50</v>
      </c>
      <c r="H110" s="7" t="s">
        <v>82</v>
      </c>
      <c r="I110" s="7" t="s">
        <v>83</v>
      </c>
      <c r="J110" s="21" t="s">
        <v>70</v>
      </c>
      <c r="K110" s="21">
        <v>1.4</v>
      </c>
      <c r="L110" s="4">
        <v>2.0</v>
      </c>
      <c r="M110" s="7" t="s">
        <v>44</v>
      </c>
      <c r="N110" s="22">
        <v>0.0</v>
      </c>
      <c r="O110" s="22">
        <f t="shared" si="6"/>
        <v>-2</v>
      </c>
      <c r="P110" s="23">
        <f t="shared" si="5"/>
        <v>267.12</v>
      </c>
      <c r="Q110" s="23">
        <f t="shared" si="1"/>
        <v>-32.89</v>
      </c>
      <c r="R110" s="9">
        <f t="shared" si="2"/>
        <v>-0.1096</v>
      </c>
      <c r="S110" s="24" t="s">
        <v>35</v>
      </c>
      <c r="T110" s="24" t="s">
        <v>36</v>
      </c>
      <c r="U110" s="11" t="str">
        <f t="shared" si="3"/>
        <v>Friday</v>
      </c>
      <c r="W110" s="11" t="str">
        <f t="shared" si="4"/>
        <v>BTTS</v>
      </c>
    </row>
    <row r="111">
      <c r="A111" s="7">
        <v>111.0</v>
      </c>
      <c r="B111" s="20">
        <v>45653.0</v>
      </c>
      <c r="C111" s="7">
        <v>18.0</v>
      </c>
      <c r="D111" s="7" t="s">
        <v>59</v>
      </c>
      <c r="F111" s="7" t="s">
        <v>42</v>
      </c>
      <c r="H111" s="7" t="s">
        <v>82</v>
      </c>
      <c r="I111" s="7" t="s">
        <v>83</v>
      </c>
      <c r="J111" s="21" t="s">
        <v>70</v>
      </c>
      <c r="K111" s="21">
        <v>1.57</v>
      </c>
      <c r="L111" s="4">
        <v>2.0</v>
      </c>
      <c r="M111" s="7" t="s">
        <v>44</v>
      </c>
      <c r="N111" s="22">
        <v>0.0</v>
      </c>
      <c r="O111" s="22">
        <f t="shared" si="6"/>
        <v>-2</v>
      </c>
      <c r="P111" s="23">
        <f t="shared" si="5"/>
        <v>265.12</v>
      </c>
      <c r="Q111" s="23">
        <f t="shared" si="1"/>
        <v>-34.89</v>
      </c>
      <c r="R111" s="9">
        <f t="shared" si="2"/>
        <v>-0.1162666667</v>
      </c>
      <c r="S111" s="24" t="s">
        <v>35</v>
      </c>
      <c r="T111" s="24" t="s">
        <v>36</v>
      </c>
      <c r="U111" s="11" t="str">
        <f t="shared" si="3"/>
        <v>Friday</v>
      </c>
      <c r="W111" s="11" t="str">
        <f t="shared" si="4"/>
        <v>BTTS</v>
      </c>
    </row>
    <row r="112">
      <c r="A112" s="7">
        <v>112.0</v>
      </c>
      <c r="B112" s="20">
        <v>45653.0</v>
      </c>
      <c r="C112" s="7">
        <v>18.0</v>
      </c>
      <c r="D112" s="7" t="s">
        <v>53</v>
      </c>
      <c r="F112" s="7" t="s">
        <v>57</v>
      </c>
      <c r="H112" s="7" t="s">
        <v>82</v>
      </c>
      <c r="I112" s="7" t="s">
        <v>106</v>
      </c>
      <c r="J112" s="21" t="s">
        <v>70</v>
      </c>
      <c r="K112" s="21">
        <v>1.9</v>
      </c>
      <c r="L112" s="4">
        <v>2.0</v>
      </c>
      <c r="M112" s="7" t="s">
        <v>44</v>
      </c>
      <c r="N112" s="22">
        <v>0.0</v>
      </c>
      <c r="O112" s="22">
        <f t="shared" si="6"/>
        <v>-2</v>
      </c>
      <c r="P112" s="23">
        <f t="shared" si="5"/>
        <v>263.12</v>
      </c>
      <c r="Q112" s="23">
        <f t="shared" si="1"/>
        <v>-36.89</v>
      </c>
      <c r="R112" s="9">
        <f t="shared" si="2"/>
        <v>-0.1229333333</v>
      </c>
      <c r="S112" s="24" t="s">
        <v>35</v>
      </c>
      <c r="T112" s="24" t="s">
        <v>36</v>
      </c>
      <c r="U112" s="11" t="str">
        <f t="shared" si="3"/>
        <v>Friday</v>
      </c>
      <c r="W112" s="11" t="str">
        <f t="shared" si="4"/>
        <v>BTTS</v>
      </c>
    </row>
    <row r="113">
      <c r="A113" s="7">
        <v>113.0</v>
      </c>
      <c r="B113" s="20">
        <v>45653.0</v>
      </c>
      <c r="C113" s="7">
        <v>18.0</v>
      </c>
      <c r="D113" s="7" t="s">
        <v>58</v>
      </c>
      <c r="F113" s="7" t="s">
        <v>46</v>
      </c>
      <c r="H113" s="7" t="s">
        <v>33</v>
      </c>
      <c r="I113" s="7" t="s">
        <v>123</v>
      </c>
      <c r="J113" s="21" t="s">
        <v>58</v>
      </c>
      <c r="K113" s="21">
        <v>2.0</v>
      </c>
      <c r="L113" s="4">
        <v>2.0</v>
      </c>
      <c r="M113" s="7" t="s">
        <v>44</v>
      </c>
      <c r="N113" s="22">
        <v>0.0</v>
      </c>
      <c r="O113" s="22">
        <f t="shared" si="6"/>
        <v>-2</v>
      </c>
      <c r="P113" s="23">
        <f t="shared" si="5"/>
        <v>261.12</v>
      </c>
      <c r="Q113" s="23">
        <f t="shared" si="1"/>
        <v>-38.89</v>
      </c>
      <c r="R113" s="9">
        <f t="shared" si="2"/>
        <v>-0.1296</v>
      </c>
      <c r="S113" s="24" t="s">
        <v>35</v>
      </c>
      <c r="T113" s="24" t="s">
        <v>36</v>
      </c>
      <c r="U113" s="11" t="str">
        <f t="shared" si="3"/>
        <v>Friday</v>
      </c>
      <c r="W113" s="11" t="str">
        <f t="shared" si="4"/>
        <v>Full Time Result</v>
      </c>
    </row>
    <row r="114">
      <c r="A114" s="7">
        <v>114.0</v>
      </c>
      <c r="B114" s="20">
        <v>45653.0</v>
      </c>
      <c r="C114" s="7">
        <v>18.0</v>
      </c>
      <c r="D114" s="7" t="s">
        <v>61</v>
      </c>
      <c r="F114" s="7" t="s">
        <v>49</v>
      </c>
      <c r="H114" s="7" t="s">
        <v>55</v>
      </c>
      <c r="I114" s="7" t="s">
        <v>62</v>
      </c>
      <c r="J114" s="21" t="s">
        <v>61</v>
      </c>
      <c r="K114" s="21">
        <v>1.22</v>
      </c>
      <c r="L114" s="4">
        <v>2.0</v>
      </c>
      <c r="M114" s="7" t="s">
        <v>34</v>
      </c>
      <c r="N114" s="22">
        <v>1.22</v>
      </c>
      <c r="O114" s="22">
        <f t="shared" si="6"/>
        <v>-0.78</v>
      </c>
      <c r="P114" s="23">
        <f t="shared" si="5"/>
        <v>260.34</v>
      </c>
      <c r="Q114" s="23">
        <f t="shared" si="1"/>
        <v>-39.67</v>
      </c>
      <c r="R114" s="9">
        <f t="shared" si="2"/>
        <v>-0.1322</v>
      </c>
      <c r="S114" s="24" t="s">
        <v>35</v>
      </c>
      <c r="T114" s="24" t="s">
        <v>36</v>
      </c>
      <c r="U114" s="11" t="str">
        <f t="shared" si="3"/>
        <v>Friday</v>
      </c>
      <c r="W114" s="11" t="str">
        <f t="shared" si="4"/>
        <v>Handicap</v>
      </c>
    </row>
    <row r="115">
      <c r="A115" s="7">
        <v>115.0</v>
      </c>
      <c r="B115" s="20">
        <v>45654.0</v>
      </c>
      <c r="C115" s="7">
        <v>18.0</v>
      </c>
      <c r="D115" s="7" t="s">
        <v>37</v>
      </c>
      <c r="F115" s="7" t="s">
        <v>54</v>
      </c>
      <c r="H115" s="7" t="s">
        <v>33</v>
      </c>
      <c r="I115" s="7" t="s">
        <v>37</v>
      </c>
      <c r="J115" s="21" t="s">
        <v>37</v>
      </c>
      <c r="K115" s="21">
        <v>1.14</v>
      </c>
      <c r="L115" s="4">
        <v>5.0</v>
      </c>
      <c r="M115" s="7" t="s">
        <v>34</v>
      </c>
      <c r="N115" s="22">
        <v>5.72</v>
      </c>
      <c r="O115" s="22">
        <f t="shared" si="6"/>
        <v>0.72</v>
      </c>
      <c r="P115" s="23">
        <f t="shared" si="5"/>
        <v>261.06</v>
      </c>
      <c r="Q115" s="23">
        <f t="shared" si="1"/>
        <v>-38.95</v>
      </c>
      <c r="R115" s="9">
        <f t="shared" si="2"/>
        <v>-0.1298</v>
      </c>
      <c r="S115" s="24" t="s">
        <v>35</v>
      </c>
      <c r="T115" s="24" t="s">
        <v>36</v>
      </c>
      <c r="U115" s="11" t="str">
        <f t="shared" si="3"/>
        <v>Saturday</v>
      </c>
      <c r="W115" s="11" t="str">
        <f t="shared" si="4"/>
        <v>Full Time Result</v>
      </c>
    </row>
    <row r="116">
      <c r="A116" s="7">
        <v>116.0</v>
      </c>
      <c r="B116" s="20">
        <v>45656.0</v>
      </c>
      <c r="C116" s="7">
        <v>19.0</v>
      </c>
      <c r="D116" s="7" t="s">
        <v>57</v>
      </c>
      <c r="F116" s="7" t="s">
        <v>78</v>
      </c>
      <c r="H116" s="7" t="s">
        <v>52</v>
      </c>
      <c r="I116" s="7" t="s">
        <v>78</v>
      </c>
      <c r="J116" s="21" t="s">
        <v>78</v>
      </c>
      <c r="K116" s="21">
        <v>1.83</v>
      </c>
      <c r="L116" s="4">
        <v>2.0</v>
      </c>
      <c r="M116" s="7" t="s">
        <v>34</v>
      </c>
      <c r="N116" s="22">
        <v>3.67</v>
      </c>
      <c r="O116" s="22">
        <f t="shared" si="6"/>
        <v>1.67</v>
      </c>
      <c r="P116" s="23">
        <f t="shared" si="5"/>
        <v>262.73</v>
      </c>
      <c r="Q116" s="23">
        <f t="shared" si="1"/>
        <v>-37.28</v>
      </c>
      <c r="R116" s="9">
        <f t="shared" si="2"/>
        <v>-0.1242333333</v>
      </c>
      <c r="S116" s="24" t="s">
        <v>35</v>
      </c>
      <c r="T116" s="24" t="s">
        <v>36</v>
      </c>
      <c r="U116" s="11" t="str">
        <f t="shared" si="3"/>
        <v>Monday</v>
      </c>
      <c r="W116" s="11" t="str">
        <f t="shared" si="4"/>
        <v>Draw No Bet</v>
      </c>
    </row>
    <row r="117">
      <c r="A117" s="7">
        <v>117.0</v>
      </c>
      <c r="B117" s="20">
        <v>45656.0</v>
      </c>
      <c r="C117" s="7">
        <v>19.0</v>
      </c>
      <c r="D117" s="7" t="s">
        <v>50</v>
      </c>
      <c r="F117" s="7" t="s">
        <v>38</v>
      </c>
      <c r="H117" s="7" t="s">
        <v>33</v>
      </c>
      <c r="I117" s="7" t="s">
        <v>50</v>
      </c>
      <c r="J117" s="21" t="s">
        <v>50</v>
      </c>
      <c r="K117" s="21">
        <v>1.66</v>
      </c>
      <c r="L117" s="4">
        <v>2.0</v>
      </c>
      <c r="M117" s="7" t="s">
        <v>44</v>
      </c>
      <c r="N117" s="22">
        <v>0.0</v>
      </c>
      <c r="O117" s="22">
        <f t="shared" si="6"/>
        <v>-2</v>
      </c>
      <c r="P117" s="23">
        <f t="shared" si="5"/>
        <v>260.73</v>
      </c>
      <c r="Q117" s="23">
        <f t="shared" si="1"/>
        <v>-39.28</v>
      </c>
      <c r="R117" s="9">
        <f t="shared" si="2"/>
        <v>-0.1309</v>
      </c>
      <c r="S117" s="24" t="s">
        <v>35</v>
      </c>
      <c r="T117" s="24" t="s">
        <v>36</v>
      </c>
      <c r="U117" s="11" t="str">
        <f t="shared" si="3"/>
        <v>Monday</v>
      </c>
      <c r="W117" s="11" t="str">
        <f t="shared" si="4"/>
        <v>Full Time Result</v>
      </c>
    </row>
    <row r="118">
      <c r="A118" s="7">
        <v>118.0</v>
      </c>
      <c r="B118" s="20">
        <v>45656.0</v>
      </c>
      <c r="C118" s="7">
        <v>19.0</v>
      </c>
      <c r="D118" s="7" t="s">
        <v>41</v>
      </c>
      <c r="F118" s="7" t="s">
        <v>61</v>
      </c>
      <c r="H118" s="7" t="s">
        <v>33</v>
      </c>
      <c r="I118" s="7" t="s">
        <v>61</v>
      </c>
      <c r="J118" s="21" t="s">
        <v>61</v>
      </c>
      <c r="K118" s="21">
        <v>1.38</v>
      </c>
      <c r="L118" s="4">
        <v>2.0</v>
      </c>
      <c r="M118" s="7" t="s">
        <v>34</v>
      </c>
      <c r="N118" s="22">
        <v>3.76</v>
      </c>
      <c r="O118" s="22">
        <f t="shared" si="6"/>
        <v>1.76</v>
      </c>
      <c r="P118" s="23">
        <f t="shared" si="5"/>
        <v>262.49</v>
      </c>
      <c r="Q118" s="23">
        <f t="shared" si="1"/>
        <v>-37.52</v>
      </c>
      <c r="R118" s="9">
        <f t="shared" si="2"/>
        <v>-0.1250333333</v>
      </c>
      <c r="S118" s="24" t="s">
        <v>35</v>
      </c>
      <c r="T118" s="24" t="s">
        <v>36</v>
      </c>
      <c r="U118" s="11" t="str">
        <f t="shared" si="3"/>
        <v>Monday</v>
      </c>
      <c r="W118" s="11" t="str">
        <f t="shared" si="4"/>
        <v>Full Time Result</v>
      </c>
    </row>
    <row r="119">
      <c r="A119" s="7">
        <v>119.0</v>
      </c>
      <c r="B119" s="20">
        <v>45657.0</v>
      </c>
      <c r="C119" s="7">
        <v>19.0</v>
      </c>
      <c r="D119" s="7" t="s">
        <v>31</v>
      </c>
      <c r="F119" s="7" t="s">
        <v>59</v>
      </c>
      <c r="H119" s="7" t="s">
        <v>33</v>
      </c>
      <c r="I119" s="7" t="s">
        <v>59</v>
      </c>
      <c r="J119" s="21" t="s">
        <v>59</v>
      </c>
      <c r="K119" s="21">
        <v>2.6</v>
      </c>
      <c r="L119" s="4">
        <v>2.0</v>
      </c>
      <c r="M119" s="7" t="s">
        <v>34</v>
      </c>
      <c r="N119" s="22">
        <v>5.2</v>
      </c>
      <c r="O119" s="22">
        <f t="shared" si="6"/>
        <v>3.2</v>
      </c>
      <c r="P119" s="23">
        <f t="shared" si="5"/>
        <v>265.69</v>
      </c>
      <c r="Q119" s="23">
        <f t="shared" si="1"/>
        <v>-34.32</v>
      </c>
      <c r="R119" s="9">
        <f t="shared" si="2"/>
        <v>-0.1143666667</v>
      </c>
      <c r="S119" s="24" t="s">
        <v>35</v>
      </c>
      <c r="T119" s="24" t="s">
        <v>36</v>
      </c>
      <c r="U119" s="11" t="str">
        <f t="shared" si="3"/>
        <v>Tuesday</v>
      </c>
      <c r="W119" s="11" t="str">
        <f t="shared" si="4"/>
        <v>Full Time Result</v>
      </c>
    </row>
    <row r="120">
      <c r="A120" s="7">
        <v>120.0</v>
      </c>
      <c r="B120" s="20">
        <v>45657.0</v>
      </c>
      <c r="C120" s="7">
        <v>19.0</v>
      </c>
      <c r="D120" s="7" t="s">
        <v>54</v>
      </c>
      <c r="F120" s="7" t="s">
        <v>69</v>
      </c>
      <c r="H120" s="7" t="s">
        <v>33</v>
      </c>
      <c r="I120" s="7" t="s">
        <v>69</v>
      </c>
      <c r="J120" s="21" t="s">
        <v>69</v>
      </c>
      <c r="K120" s="21">
        <v>1.38</v>
      </c>
      <c r="L120" s="4">
        <v>2.0</v>
      </c>
      <c r="M120" s="7" t="s">
        <v>44</v>
      </c>
      <c r="N120" s="22">
        <v>0.0</v>
      </c>
      <c r="O120" s="22">
        <f t="shared" si="6"/>
        <v>-2</v>
      </c>
      <c r="P120" s="23">
        <f t="shared" si="5"/>
        <v>263.69</v>
      </c>
      <c r="Q120" s="23">
        <f t="shared" si="1"/>
        <v>-36.32</v>
      </c>
      <c r="R120" s="9">
        <f t="shared" si="2"/>
        <v>-0.1210333333</v>
      </c>
      <c r="S120" s="24" t="s">
        <v>35</v>
      </c>
      <c r="T120" s="24" t="s">
        <v>36</v>
      </c>
      <c r="U120" s="11" t="str">
        <f t="shared" si="3"/>
        <v>Tuesday</v>
      </c>
      <c r="W120" s="11" t="str">
        <f t="shared" si="4"/>
        <v>Full Time Result</v>
      </c>
    </row>
    <row r="121">
      <c r="A121" s="7">
        <v>121.0</v>
      </c>
      <c r="B121" s="20">
        <v>45661.0</v>
      </c>
      <c r="C121" s="7">
        <v>20.0</v>
      </c>
      <c r="D121" s="7" t="s">
        <v>61</v>
      </c>
      <c r="F121" s="7" t="s">
        <v>31</v>
      </c>
      <c r="H121" s="7" t="s">
        <v>55</v>
      </c>
      <c r="I121" s="7" t="s">
        <v>62</v>
      </c>
      <c r="J121" s="21" t="s">
        <v>61</v>
      </c>
      <c r="K121" s="21">
        <v>1.72</v>
      </c>
      <c r="L121" s="4">
        <v>2.0</v>
      </c>
      <c r="M121" s="7" t="s">
        <v>44</v>
      </c>
      <c r="N121" s="22">
        <v>0.0</v>
      </c>
      <c r="O121" s="22">
        <f t="shared" si="6"/>
        <v>-2</v>
      </c>
      <c r="P121" s="23">
        <f t="shared" si="5"/>
        <v>261.69</v>
      </c>
      <c r="Q121" s="23">
        <f t="shared" si="1"/>
        <v>-38.32</v>
      </c>
      <c r="R121" s="9">
        <f t="shared" si="2"/>
        <v>-0.1277</v>
      </c>
      <c r="S121" s="24" t="s">
        <v>35</v>
      </c>
      <c r="T121" s="24" t="s">
        <v>36</v>
      </c>
      <c r="U121" s="11" t="str">
        <f t="shared" si="3"/>
        <v>Saturday</v>
      </c>
      <c r="W121" s="11" t="str">
        <f t="shared" si="4"/>
        <v>Handicap</v>
      </c>
    </row>
    <row r="122">
      <c r="A122" s="7">
        <v>122.0</v>
      </c>
      <c r="B122" s="20">
        <v>45662.0</v>
      </c>
      <c r="C122" s="7">
        <v>20.0</v>
      </c>
      <c r="D122" s="7" t="s">
        <v>88</v>
      </c>
      <c r="F122" s="7" t="s">
        <v>45</v>
      </c>
      <c r="H122" s="7" t="s">
        <v>52</v>
      </c>
      <c r="I122" s="7" t="s">
        <v>45</v>
      </c>
      <c r="J122" s="21" t="s">
        <v>45</v>
      </c>
      <c r="K122" s="21">
        <v>1.57</v>
      </c>
      <c r="L122" s="4">
        <v>2.0</v>
      </c>
      <c r="M122" s="7" t="s">
        <v>34</v>
      </c>
      <c r="N122" s="22">
        <v>3.15</v>
      </c>
      <c r="O122" s="22">
        <f t="shared" si="6"/>
        <v>1.15</v>
      </c>
      <c r="P122" s="23">
        <f t="shared" si="5"/>
        <v>262.84</v>
      </c>
      <c r="Q122" s="23">
        <f t="shared" si="1"/>
        <v>-37.17</v>
      </c>
      <c r="R122" s="9">
        <f t="shared" si="2"/>
        <v>-0.1238666667</v>
      </c>
      <c r="S122" s="24" t="s">
        <v>35</v>
      </c>
      <c r="T122" s="24" t="s">
        <v>36</v>
      </c>
      <c r="U122" s="11" t="str">
        <f t="shared" si="3"/>
        <v>Sunday</v>
      </c>
      <c r="W122" s="11" t="str">
        <f t="shared" si="4"/>
        <v>Draw No Bet</v>
      </c>
    </row>
    <row r="123">
      <c r="A123" s="7">
        <v>123.0</v>
      </c>
      <c r="B123" s="20">
        <v>45662.0</v>
      </c>
      <c r="C123" s="7">
        <v>20.0</v>
      </c>
      <c r="D123" s="7" t="s">
        <v>51</v>
      </c>
      <c r="F123" s="7" t="s">
        <v>37</v>
      </c>
      <c r="H123" s="7" t="s">
        <v>33</v>
      </c>
      <c r="I123" s="7" t="s">
        <v>37</v>
      </c>
      <c r="J123" s="21" t="s">
        <v>37</v>
      </c>
      <c r="K123" s="21">
        <v>1.8</v>
      </c>
      <c r="L123" s="4">
        <v>2.0</v>
      </c>
      <c r="M123" s="7" t="s">
        <v>44</v>
      </c>
      <c r="N123" s="22">
        <v>0.0</v>
      </c>
      <c r="O123" s="22">
        <f t="shared" si="6"/>
        <v>-2</v>
      </c>
      <c r="P123" s="23">
        <f t="shared" si="5"/>
        <v>260.84</v>
      </c>
      <c r="Q123" s="23">
        <f t="shared" si="1"/>
        <v>-39.17</v>
      </c>
      <c r="R123" s="9">
        <f t="shared" si="2"/>
        <v>-0.1305333333</v>
      </c>
      <c r="S123" s="24" t="s">
        <v>35</v>
      </c>
      <c r="T123" s="24" t="s">
        <v>36</v>
      </c>
      <c r="U123" s="11" t="str">
        <f t="shared" si="3"/>
        <v>Sunday</v>
      </c>
      <c r="W123" s="11" t="str">
        <f t="shared" si="4"/>
        <v>Full Time Result</v>
      </c>
    </row>
    <row r="124">
      <c r="A124" s="7">
        <v>124.0</v>
      </c>
      <c r="B124" s="20">
        <v>45662.0</v>
      </c>
      <c r="C124" s="7">
        <v>20.0</v>
      </c>
      <c r="D124" s="7" t="s">
        <v>42</v>
      </c>
      <c r="F124" s="7" t="s">
        <v>49</v>
      </c>
      <c r="H124" s="7" t="s">
        <v>33</v>
      </c>
      <c r="I124" s="7" t="s">
        <v>42</v>
      </c>
      <c r="J124" s="21" t="s">
        <v>42</v>
      </c>
      <c r="K124" s="21">
        <v>1.33</v>
      </c>
      <c r="L124" s="4">
        <v>2.0</v>
      </c>
      <c r="M124" s="7" t="s">
        <v>34</v>
      </c>
      <c r="N124" s="22">
        <v>2.67</v>
      </c>
      <c r="O124" s="22">
        <f t="shared" si="6"/>
        <v>0.67</v>
      </c>
      <c r="P124" s="23">
        <f t="shared" si="5"/>
        <v>261.51</v>
      </c>
      <c r="Q124" s="23">
        <f t="shared" si="1"/>
        <v>-38.5</v>
      </c>
      <c r="R124" s="9">
        <f t="shared" si="2"/>
        <v>-0.1283</v>
      </c>
      <c r="S124" s="24" t="s">
        <v>35</v>
      </c>
      <c r="T124" s="24" t="s">
        <v>36</v>
      </c>
      <c r="U124" s="11" t="str">
        <f t="shared" si="3"/>
        <v>Sunday</v>
      </c>
      <c r="W124" s="11" t="str">
        <f t="shared" si="4"/>
        <v>Full Time Result</v>
      </c>
    </row>
    <row r="125">
      <c r="A125" s="7">
        <v>125.0</v>
      </c>
      <c r="B125" s="20">
        <v>45662.0</v>
      </c>
      <c r="C125" s="7">
        <v>20.0</v>
      </c>
      <c r="D125" s="7" t="s">
        <v>50</v>
      </c>
      <c r="F125" s="7" t="s">
        <v>59</v>
      </c>
      <c r="H125" s="7" t="s">
        <v>33</v>
      </c>
      <c r="I125" s="7" t="s">
        <v>59</v>
      </c>
      <c r="J125" s="21" t="s">
        <v>59</v>
      </c>
      <c r="K125" s="21">
        <v>1.83</v>
      </c>
      <c r="L125" s="4">
        <v>2.0</v>
      </c>
      <c r="M125" s="7" t="s">
        <v>34</v>
      </c>
      <c r="N125" s="22">
        <v>3.67</v>
      </c>
      <c r="O125" s="22">
        <f t="shared" si="6"/>
        <v>1.67</v>
      </c>
      <c r="P125" s="23">
        <f t="shared" si="5"/>
        <v>263.18</v>
      </c>
      <c r="Q125" s="23">
        <f t="shared" si="1"/>
        <v>-36.83</v>
      </c>
      <c r="R125" s="9">
        <f t="shared" si="2"/>
        <v>-0.1227333333</v>
      </c>
      <c r="S125" s="24" t="s">
        <v>35</v>
      </c>
      <c r="T125" s="24" t="s">
        <v>36</v>
      </c>
      <c r="U125" s="11" t="str">
        <f t="shared" si="3"/>
        <v>Sunday</v>
      </c>
      <c r="W125" s="11" t="str">
        <f t="shared" si="4"/>
        <v>Full Time Result</v>
      </c>
    </row>
    <row r="126">
      <c r="A126" s="7">
        <v>126.0</v>
      </c>
      <c r="B126" s="20">
        <v>45663.0</v>
      </c>
      <c r="C126" s="7">
        <v>20.0</v>
      </c>
      <c r="D126" s="7" t="s">
        <v>38</v>
      </c>
      <c r="F126" s="7" t="s">
        <v>78</v>
      </c>
      <c r="H126" s="7" t="s">
        <v>33</v>
      </c>
      <c r="I126" s="7" t="s">
        <v>78</v>
      </c>
      <c r="J126" s="21" t="s">
        <v>78</v>
      </c>
      <c r="K126" s="21">
        <v>2.3</v>
      </c>
      <c r="L126" s="4">
        <v>2.0</v>
      </c>
      <c r="M126" s="7" t="s">
        <v>34</v>
      </c>
      <c r="N126" s="22">
        <v>4.6</v>
      </c>
      <c r="O126" s="22">
        <f t="shared" si="6"/>
        <v>2.6</v>
      </c>
      <c r="P126" s="23">
        <f t="shared" si="5"/>
        <v>265.78</v>
      </c>
      <c r="Q126" s="23">
        <f t="shared" si="1"/>
        <v>-34.23</v>
      </c>
      <c r="R126" s="9">
        <f t="shared" si="2"/>
        <v>-0.1140666667</v>
      </c>
      <c r="S126" s="24" t="s">
        <v>35</v>
      </c>
      <c r="T126" s="24" t="s">
        <v>36</v>
      </c>
      <c r="U126" s="11" t="str">
        <f t="shared" si="3"/>
        <v>Monday</v>
      </c>
      <c r="W126" s="11" t="str">
        <f t="shared" si="4"/>
        <v>Full Time Result</v>
      </c>
    </row>
    <row r="127">
      <c r="A127" s="7">
        <v>127.0</v>
      </c>
      <c r="B127" s="20">
        <v>45668.0</v>
      </c>
      <c r="C127" s="7" t="s">
        <v>73</v>
      </c>
      <c r="D127" s="7" t="s">
        <v>70</v>
      </c>
      <c r="F127" s="7" t="s">
        <v>70</v>
      </c>
      <c r="H127" s="7" t="s">
        <v>112</v>
      </c>
      <c r="I127" s="7" t="s">
        <v>124</v>
      </c>
      <c r="J127" s="21" t="s">
        <v>70</v>
      </c>
      <c r="K127" s="25">
        <f>1.025*1.16*1.05*1.12*1.4</f>
        <v>1.9575696</v>
      </c>
      <c r="L127" s="4">
        <v>1.0</v>
      </c>
      <c r="M127" s="7" t="s">
        <v>44</v>
      </c>
      <c r="N127" s="22">
        <v>0.0</v>
      </c>
      <c r="O127" s="22">
        <f t="shared" si="6"/>
        <v>-1</v>
      </c>
      <c r="P127" s="23">
        <f t="shared" si="5"/>
        <v>264.78</v>
      </c>
      <c r="Q127" s="23">
        <f t="shared" si="1"/>
        <v>-35.23</v>
      </c>
      <c r="R127" s="9">
        <f t="shared" si="2"/>
        <v>-0.1174</v>
      </c>
      <c r="S127" s="24" t="s">
        <v>125</v>
      </c>
      <c r="T127" s="24" t="s">
        <v>36</v>
      </c>
      <c r="U127" s="11" t="str">
        <f t="shared" si="3"/>
        <v>Saturday</v>
      </c>
    </row>
    <row r="128">
      <c r="A128" s="7">
        <v>128.0</v>
      </c>
      <c r="B128" s="20">
        <v>45668.0</v>
      </c>
      <c r="C128" s="7" t="s">
        <v>73</v>
      </c>
      <c r="D128" s="7" t="s">
        <v>70</v>
      </c>
      <c r="F128" s="7" t="s">
        <v>70</v>
      </c>
      <c r="H128" s="7" t="s">
        <v>112</v>
      </c>
      <c r="I128" s="7" t="s">
        <v>126</v>
      </c>
      <c r="J128" s="21" t="s">
        <v>70</v>
      </c>
      <c r="K128" s="25">
        <f>1.025*1.16*1.05*1.12*1.25</f>
        <v>1.74783</v>
      </c>
      <c r="L128" s="4">
        <v>1.0</v>
      </c>
      <c r="M128" s="7" t="s">
        <v>44</v>
      </c>
      <c r="N128" s="22">
        <v>0.0</v>
      </c>
      <c r="O128" s="22">
        <f t="shared" si="6"/>
        <v>-1</v>
      </c>
      <c r="P128" s="23">
        <f t="shared" si="5"/>
        <v>263.78</v>
      </c>
      <c r="Q128" s="23">
        <f t="shared" si="1"/>
        <v>-36.23</v>
      </c>
      <c r="R128" s="9">
        <f t="shared" si="2"/>
        <v>-0.1207333333</v>
      </c>
      <c r="S128" s="24" t="s">
        <v>125</v>
      </c>
      <c r="T128" s="24" t="s">
        <v>36</v>
      </c>
      <c r="U128" s="11" t="str">
        <f t="shared" si="3"/>
        <v>Saturday</v>
      </c>
    </row>
    <row r="129">
      <c r="A129" s="7">
        <v>129.0</v>
      </c>
      <c r="B129" s="20">
        <v>45668.0</v>
      </c>
      <c r="C129" s="7" t="s">
        <v>73</v>
      </c>
      <c r="D129" s="7" t="s">
        <v>70</v>
      </c>
      <c r="F129" s="7" t="s">
        <v>70</v>
      </c>
      <c r="H129" s="7" t="s">
        <v>112</v>
      </c>
      <c r="I129" s="7" t="s">
        <v>127</v>
      </c>
      <c r="J129" s="21" t="s">
        <v>70</v>
      </c>
      <c r="K129" s="25">
        <f>1.025*1.12*1.16*1.05*1.44</f>
        <v>2.01350016</v>
      </c>
      <c r="L129" s="4">
        <v>1.0</v>
      </c>
      <c r="M129" s="7" t="s">
        <v>44</v>
      </c>
      <c r="N129" s="22">
        <v>0.0</v>
      </c>
      <c r="O129" s="22">
        <f t="shared" si="6"/>
        <v>-1</v>
      </c>
      <c r="P129" s="23">
        <f t="shared" si="5"/>
        <v>262.78</v>
      </c>
      <c r="Q129" s="23">
        <f t="shared" si="1"/>
        <v>-37.23</v>
      </c>
      <c r="R129" s="9">
        <f t="shared" si="2"/>
        <v>-0.1240666667</v>
      </c>
      <c r="S129" s="24" t="s">
        <v>125</v>
      </c>
      <c r="T129" s="24" t="s">
        <v>36</v>
      </c>
      <c r="U129" s="11" t="str">
        <f t="shared" si="3"/>
        <v>Saturday</v>
      </c>
    </row>
    <row r="130">
      <c r="A130" s="7">
        <v>130.0</v>
      </c>
      <c r="B130" s="20">
        <v>45668.0</v>
      </c>
      <c r="C130" s="7" t="s">
        <v>73</v>
      </c>
      <c r="D130" s="7" t="s">
        <v>70</v>
      </c>
      <c r="F130" s="7" t="s">
        <v>70</v>
      </c>
      <c r="H130" s="7" t="s">
        <v>112</v>
      </c>
      <c r="I130" s="7" t="s">
        <v>128</v>
      </c>
      <c r="J130" s="21" t="s">
        <v>70</v>
      </c>
      <c r="K130" s="25">
        <f>1.025*1.16*1.05*1.12*1.083*1.4*1.22*1.44*1.02</f>
        <v>3.798990112</v>
      </c>
      <c r="L130" s="4">
        <v>1.0</v>
      </c>
      <c r="M130" s="7" t="s">
        <v>44</v>
      </c>
      <c r="N130" s="22">
        <v>0.0</v>
      </c>
      <c r="O130" s="22">
        <f t="shared" si="6"/>
        <v>-1</v>
      </c>
      <c r="P130" s="23">
        <f t="shared" si="5"/>
        <v>261.78</v>
      </c>
      <c r="Q130" s="23">
        <f t="shared" si="1"/>
        <v>-38.23</v>
      </c>
      <c r="R130" s="9">
        <f t="shared" si="2"/>
        <v>-0.1274</v>
      </c>
      <c r="S130" s="24" t="s">
        <v>125</v>
      </c>
      <c r="T130" s="24" t="s">
        <v>36</v>
      </c>
      <c r="U130" s="11" t="str">
        <f t="shared" si="3"/>
        <v>Saturday</v>
      </c>
    </row>
    <row r="131">
      <c r="A131" s="7">
        <v>131.0</v>
      </c>
      <c r="B131" s="20">
        <v>45668.0</v>
      </c>
      <c r="C131" s="7" t="s">
        <v>73</v>
      </c>
      <c r="D131" s="7" t="s">
        <v>70</v>
      </c>
      <c r="F131" s="7" t="s">
        <v>70</v>
      </c>
      <c r="H131" s="7" t="s">
        <v>112</v>
      </c>
      <c r="I131" s="7" t="s">
        <v>129</v>
      </c>
      <c r="J131" s="21" t="s">
        <v>70</v>
      </c>
      <c r="K131" s="21">
        <v>2.04</v>
      </c>
      <c r="L131" s="4">
        <v>1.0</v>
      </c>
      <c r="M131" s="7" t="s">
        <v>44</v>
      </c>
      <c r="N131" s="22">
        <v>0.0</v>
      </c>
      <c r="O131" s="22">
        <f t="shared" si="6"/>
        <v>-1</v>
      </c>
      <c r="P131" s="23">
        <f t="shared" si="5"/>
        <v>260.78</v>
      </c>
      <c r="Q131" s="23">
        <f t="shared" si="1"/>
        <v>-39.23</v>
      </c>
      <c r="R131" s="9">
        <f t="shared" si="2"/>
        <v>-0.1307333333</v>
      </c>
      <c r="S131" s="24" t="s">
        <v>125</v>
      </c>
      <c r="T131" s="24" t="s">
        <v>36</v>
      </c>
      <c r="U131" s="11" t="str">
        <f t="shared" si="3"/>
        <v>Saturday</v>
      </c>
    </row>
    <row r="132">
      <c r="A132" s="7">
        <v>132.0</v>
      </c>
      <c r="B132" s="20">
        <v>45675.0</v>
      </c>
      <c r="C132" s="7">
        <v>21.0</v>
      </c>
      <c r="D132" s="7" t="s">
        <v>69</v>
      </c>
      <c r="F132" s="7" t="s">
        <v>38</v>
      </c>
      <c r="H132" s="7" t="s">
        <v>33</v>
      </c>
      <c r="I132" s="7" t="s">
        <v>69</v>
      </c>
      <c r="J132" s="21" t="s">
        <v>69</v>
      </c>
      <c r="K132" s="21">
        <v>1.36</v>
      </c>
      <c r="L132" s="4">
        <v>2.0</v>
      </c>
      <c r="M132" s="7" t="s">
        <v>34</v>
      </c>
      <c r="N132" s="22">
        <v>2.73</v>
      </c>
      <c r="O132" s="22">
        <f t="shared" si="6"/>
        <v>0.73</v>
      </c>
      <c r="P132" s="23">
        <f t="shared" si="5"/>
        <v>261.51</v>
      </c>
      <c r="Q132" s="23">
        <f t="shared" si="1"/>
        <v>-38.5</v>
      </c>
      <c r="R132" s="9">
        <f t="shared" si="2"/>
        <v>-0.1283</v>
      </c>
      <c r="S132" s="24" t="s">
        <v>35</v>
      </c>
      <c r="T132" s="24" t="s">
        <v>36</v>
      </c>
      <c r="U132" s="11" t="str">
        <f t="shared" si="3"/>
        <v>Saturday</v>
      </c>
    </row>
    <row r="133">
      <c r="A133" s="7">
        <v>133.0</v>
      </c>
      <c r="B133" s="20">
        <v>45675.0</v>
      </c>
      <c r="C133" s="7">
        <v>21.0</v>
      </c>
      <c r="D133" s="7" t="s">
        <v>78</v>
      </c>
      <c r="F133" s="7" t="s">
        <v>88</v>
      </c>
      <c r="H133" s="7" t="s">
        <v>33</v>
      </c>
      <c r="I133" s="7" t="s">
        <v>78</v>
      </c>
      <c r="J133" s="21" t="s">
        <v>78</v>
      </c>
      <c r="K133" s="21">
        <v>1.38</v>
      </c>
      <c r="L133" s="4">
        <v>4.0</v>
      </c>
      <c r="M133" s="7" t="s">
        <v>34</v>
      </c>
      <c r="N133" s="22">
        <v>5.52</v>
      </c>
      <c r="O133" s="22">
        <f t="shared" si="6"/>
        <v>1.52</v>
      </c>
      <c r="P133" s="23">
        <f t="shared" si="5"/>
        <v>263.03</v>
      </c>
      <c r="Q133" s="23">
        <f t="shared" si="1"/>
        <v>-36.98</v>
      </c>
      <c r="R133" s="9">
        <f t="shared" si="2"/>
        <v>-0.1232333333</v>
      </c>
      <c r="S133" s="24" t="s">
        <v>35</v>
      </c>
      <c r="T133" s="24" t="s">
        <v>36</v>
      </c>
      <c r="U133" s="11" t="str">
        <f t="shared" si="3"/>
        <v>Saturday</v>
      </c>
    </row>
    <row r="134">
      <c r="A134" s="7">
        <v>134.0</v>
      </c>
      <c r="B134" s="20">
        <v>45675.0</v>
      </c>
      <c r="C134" s="7">
        <v>21.0</v>
      </c>
      <c r="D134" s="7" t="s">
        <v>45</v>
      </c>
      <c r="F134" s="7" t="s">
        <v>61</v>
      </c>
      <c r="H134" s="7" t="s">
        <v>33</v>
      </c>
      <c r="I134" s="7" t="s">
        <v>61</v>
      </c>
      <c r="J134" s="21" t="s">
        <v>61</v>
      </c>
      <c r="K134" s="21">
        <v>1.45</v>
      </c>
      <c r="L134" s="4">
        <v>2.0</v>
      </c>
      <c r="M134" s="7" t="s">
        <v>34</v>
      </c>
      <c r="N134" s="22">
        <v>2.9</v>
      </c>
      <c r="O134" s="22">
        <f t="shared" si="6"/>
        <v>0.9</v>
      </c>
      <c r="P134" s="23">
        <f t="shared" si="5"/>
        <v>263.93</v>
      </c>
      <c r="Q134" s="23">
        <f t="shared" si="1"/>
        <v>-36.08</v>
      </c>
      <c r="R134" s="9">
        <f t="shared" si="2"/>
        <v>-0.1202333333</v>
      </c>
      <c r="S134" s="24" t="s">
        <v>35</v>
      </c>
      <c r="T134" s="24" t="s">
        <v>36</v>
      </c>
      <c r="U134" s="11" t="str">
        <f t="shared" si="3"/>
        <v>Saturday</v>
      </c>
    </row>
    <row r="135">
      <c r="A135" s="7">
        <v>135.0</v>
      </c>
      <c r="B135" s="20">
        <v>45675.0</v>
      </c>
      <c r="C135" s="7">
        <v>21.0</v>
      </c>
      <c r="D135" s="7" t="s">
        <v>59</v>
      </c>
      <c r="F135" s="7" t="s">
        <v>58</v>
      </c>
      <c r="H135" s="7" t="s">
        <v>33</v>
      </c>
      <c r="I135" s="7" t="s">
        <v>59</v>
      </c>
      <c r="J135" s="21" t="s">
        <v>59</v>
      </c>
      <c r="K135" s="21">
        <v>1.57</v>
      </c>
      <c r="L135" s="4">
        <v>2.0</v>
      </c>
      <c r="M135" s="7" t="s">
        <v>44</v>
      </c>
      <c r="N135" s="22">
        <v>0.0</v>
      </c>
      <c r="O135" s="22">
        <f t="shared" si="6"/>
        <v>-2</v>
      </c>
      <c r="P135" s="23">
        <f t="shared" si="5"/>
        <v>261.93</v>
      </c>
      <c r="Q135" s="23">
        <f t="shared" si="1"/>
        <v>-38.08</v>
      </c>
      <c r="R135" s="9">
        <f t="shared" si="2"/>
        <v>-0.1269</v>
      </c>
      <c r="S135" s="24" t="s">
        <v>35</v>
      </c>
      <c r="T135" s="24" t="s">
        <v>36</v>
      </c>
      <c r="U135" s="11" t="str">
        <f t="shared" si="3"/>
        <v>Saturday</v>
      </c>
    </row>
    <row r="136">
      <c r="A136" s="7">
        <v>136.0</v>
      </c>
      <c r="B136" s="20">
        <v>45682.0</v>
      </c>
      <c r="C136" s="7">
        <v>22.0</v>
      </c>
      <c r="D136" s="7" t="s">
        <v>42</v>
      </c>
      <c r="F136" s="7" t="s">
        <v>41</v>
      </c>
      <c r="H136" s="7" t="s">
        <v>33</v>
      </c>
      <c r="I136" s="7" t="s">
        <v>42</v>
      </c>
      <c r="J136" s="21" t="s">
        <v>42</v>
      </c>
      <c r="K136" s="21">
        <v>1.53</v>
      </c>
      <c r="L136" s="4">
        <v>2.0</v>
      </c>
      <c r="M136" s="7" t="s">
        <v>44</v>
      </c>
      <c r="N136" s="22">
        <v>0.0</v>
      </c>
      <c r="O136" s="22">
        <f t="shared" si="6"/>
        <v>-2</v>
      </c>
      <c r="P136" s="23">
        <f t="shared" si="5"/>
        <v>259.93</v>
      </c>
      <c r="Q136" s="23">
        <f t="shared" si="1"/>
        <v>-40.08</v>
      </c>
      <c r="R136" s="9">
        <f t="shared" si="2"/>
        <v>-0.1335666667</v>
      </c>
      <c r="S136" s="24" t="s">
        <v>35</v>
      </c>
      <c r="T136" s="24" t="s">
        <v>36</v>
      </c>
      <c r="U136" s="11" t="str">
        <f t="shared" si="3"/>
        <v>Saturday</v>
      </c>
    </row>
    <row r="137">
      <c r="A137" s="7">
        <v>137.0</v>
      </c>
      <c r="B137" s="20">
        <v>45682.0</v>
      </c>
      <c r="C137" s="7">
        <v>22.0</v>
      </c>
      <c r="D137" s="7" t="s">
        <v>46</v>
      </c>
      <c r="F137" s="7" t="s">
        <v>45</v>
      </c>
      <c r="H137" s="7" t="s">
        <v>82</v>
      </c>
      <c r="I137" s="7" t="s">
        <v>83</v>
      </c>
      <c r="J137" s="21" t="s">
        <v>70</v>
      </c>
      <c r="K137" s="21">
        <v>1.61</v>
      </c>
      <c r="L137" s="4">
        <v>2.0</v>
      </c>
      <c r="M137" s="7" t="s">
        <v>34</v>
      </c>
      <c r="N137" s="22">
        <v>3.24</v>
      </c>
      <c r="O137" s="22">
        <f t="shared" si="6"/>
        <v>1.24</v>
      </c>
      <c r="P137" s="23">
        <f t="shared" si="5"/>
        <v>261.17</v>
      </c>
      <c r="Q137" s="23">
        <f t="shared" si="1"/>
        <v>-38.84</v>
      </c>
      <c r="R137" s="9">
        <f t="shared" si="2"/>
        <v>-0.1294333333</v>
      </c>
      <c r="S137" s="24" t="s">
        <v>35</v>
      </c>
      <c r="T137" s="24" t="s">
        <v>36</v>
      </c>
      <c r="U137" s="11" t="str">
        <f t="shared" si="3"/>
        <v>Saturday</v>
      </c>
    </row>
    <row r="138">
      <c r="A138" s="7">
        <v>138.0</v>
      </c>
      <c r="B138" s="20">
        <v>45682.0</v>
      </c>
      <c r="C138" s="7">
        <v>22.0</v>
      </c>
      <c r="D138" s="7" t="s">
        <v>38</v>
      </c>
      <c r="F138" s="7" t="s">
        <v>37</v>
      </c>
      <c r="H138" s="7" t="s">
        <v>33</v>
      </c>
      <c r="I138" s="7" t="s">
        <v>37</v>
      </c>
      <c r="J138" s="21" t="s">
        <v>37</v>
      </c>
      <c r="K138" s="21">
        <v>1.5</v>
      </c>
      <c r="L138" s="4">
        <v>2.0</v>
      </c>
      <c r="M138" s="7" t="s">
        <v>34</v>
      </c>
      <c r="N138" s="22">
        <v>3.0</v>
      </c>
      <c r="O138" s="22">
        <f t="shared" si="6"/>
        <v>1</v>
      </c>
      <c r="P138" s="23">
        <f t="shared" si="5"/>
        <v>262.17</v>
      </c>
      <c r="Q138" s="23">
        <f t="shared" si="1"/>
        <v>-37.84</v>
      </c>
      <c r="R138" s="9">
        <f t="shared" si="2"/>
        <v>-0.1261</v>
      </c>
      <c r="S138" s="24" t="s">
        <v>35</v>
      </c>
      <c r="T138" s="24" t="s">
        <v>36</v>
      </c>
      <c r="U138" s="11" t="str">
        <f t="shared" si="3"/>
        <v>Saturday</v>
      </c>
    </row>
    <row r="139">
      <c r="A139" s="7">
        <v>139.0</v>
      </c>
      <c r="B139" s="20">
        <v>45682.0</v>
      </c>
      <c r="C139" s="7">
        <v>22.0</v>
      </c>
      <c r="D139" s="7" t="s">
        <v>61</v>
      </c>
      <c r="F139" s="7" t="s">
        <v>54</v>
      </c>
      <c r="H139" s="7" t="s">
        <v>55</v>
      </c>
      <c r="I139" s="7" t="s">
        <v>62</v>
      </c>
      <c r="J139" s="21" t="s">
        <v>61</v>
      </c>
      <c r="K139" s="21">
        <v>1.3</v>
      </c>
      <c r="L139" s="4">
        <v>3.0</v>
      </c>
      <c r="M139" s="7" t="s">
        <v>34</v>
      </c>
      <c r="N139" s="22">
        <v>3.9</v>
      </c>
      <c r="O139" s="22">
        <f t="shared" si="6"/>
        <v>0.9</v>
      </c>
      <c r="P139" s="23">
        <f t="shared" si="5"/>
        <v>263.07</v>
      </c>
      <c r="Q139" s="23">
        <f t="shared" si="1"/>
        <v>-36.94</v>
      </c>
      <c r="R139" s="9">
        <f t="shared" si="2"/>
        <v>-0.1231</v>
      </c>
      <c r="S139" s="24" t="s">
        <v>35</v>
      </c>
      <c r="T139" s="24" t="s">
        <v>36</v>
      </c>
      <c r="U139" s="11" t="str">
        <f t="shared" si="3"/>
        <v>Saturday</v>
      </c>
    </row>
    <row r="140">
      <c r="A140" s="7">
        <v>140.0</v>
      </c>
      <c r="B140" s="20">
        <v>45682.0</v>
      </c>
      <c r="C140" s="7">
        <v>22.0</v>
      </c>
      <c r="D140" s="7" t="s">
        <v>51</v>
      </c>
      <c r="F140" s="7" t="s">
        <v>57</v>
      </c>
      <c r="H140" s="7" t="s">
        <v>33</v>
      </c>
      <c r="I140" s="7" t="s">
        <v>51</v>
      </c>
      <c r="J140" s="21" t="s">
        <v>51</v>
      </c>
      <c r="K140" s="21">
        <v>1.66</v>
      </c>
      <c r="L140" s="4">
        <v>2.0</v>
      </c>
      <c r="M140" s="7" t="s">
        <v>44</v>
      </c>
      <c r="N140" s="22">
        <v>0.0</v>
      </c>
      <c r="O140" s="22">
        <f t="shared" si="6"/>
        <v>-2</v>
      </c>
      <c r="P140" s="23">
        <f t="shared" si="5"/>
        <v>261.07</v>
      </c>
      <c r="Q140" s="23">
        <f t="shared" si="1"/>
        <v>-38.94</v>
      </c>
      <c r="R140" s="9">
        <f t="shared" si="2"/>
        <v>-0.1297666667</v>
      </c>
      <c r="S140" s="24" t="s">
        <v>35</v>
      </c>
      <c r="T140" s="24" t="s">
        <v>36</v>
      </c>
      <c r="U140" s="11" t="str">
        <f t="shared" si="3"/>
        <v>Saturday</v>
      </c>
    </row>
    <row r="141">
      <c r="A141" s="7">
        <v>141.0</v>
      </c>
      <c r="B141" s="20">
        <v>45682.0</v>
      </c>
      <c r="C141" s="7">
        <v>22.0</v>
      </c>
      <c r="D141" s="7" t="s">
        <v>58</v>
      </c>
      <c r="F141" s="7" t="s">
        <v>78</v>
      </c>
      <c r="H141" s="7" t="s">
        <v>33</v>
      </c>
      <c r="I141" s="7" t="s">
        <v>78</v>
      </c>
      <c r="J141" s="21" t="s">
        <v>78</v>
      </c>
      <c r="K141" s="21">
        <v>3.3</v>
      </c>
      <c r="L141" s="4">
        <v>1.0</v>
      </c>
      <c r="M141" s="7" t="s">
        <v>44</v>
      </c>
      <c r="N141" s="22">
        <v>0.0</v>
      </c>
      <c r="O141" s="22">
        <f t="shared" si="6"/>
        <v>-1</v>
      </c>
      <c r="P141" s="23">
        <f t="shared" si="5"/>
        <v>260.07</v>
      </c>
      <c r="Q141" s="23">
        <f t="shared" si="1"/>
        <v>-39.94</v>
      </c>
      <c r="R141" s="9">
        <f t="shared" si="2"/>
        <v>-0.1331</v>
      </c>
      <c r="S141" s="24" t="s">
        <v>35</v>
      </c>
      <c r="T141" s="24" t="s">
        <v>36</v>
      </c>
      <c r="U141" s="11" t="str">
        <f t="shared" si="3"/>
        <v>Saturday</v>
      </c>
    </row>
    <row r="142">
      <c r="A142" s="7">
        <v>142.0</v>
      </c>
      <c r="B142" s="20">
        <v>45682.0</v>
      </c>
      <c r="C142" s="7">
        <v>22.0</v>
      </c>
      <c r="D142" s="7" t="s">
        <v>58</v>
      </c>
      <c r="F142" s="7" t="s">
        <v>78</v>
      </c>
      <c r="H142" s="7" t="s">
        <v>55</v>
      </c>
      <c r="I142" s="7" t="s">
        <v>103</v>
      </c>
      <c r="J142" s="21" t="s">
        <v>78</v>
      </c>
      <c r="K142" s="21">
        <v>1.72</v>
      </c>
      <c r="L142" s="4">
        <v>1.0</v>
      </c>
      <c r="M142" s="7" t="s">
        <v>44</v>
      </c>
      <c r="N142" s="22">
        <v>0.0</v>
      </c>
      <c r="O142" s="22">
        <f t="shared" si="6"/>
        <v>-1</v>
      </c>
      <c r="P142" s="23">
        <f t="shared" si="5"/>
        <v>259.07</v>
      </c>
      <c r="Q142" s="23">
        <f t="shared" si="1"/>
        <v>-40.94</v>
      </c>
      <c r="R142" s="9">
        <f t="shared" si="2"/>
        <v>-0.1364333333</v>
      </c>
      <c r="S142" s="24" t="s">
        <v>35</v>
      </c>
      <c r="T142" s="24" t="s">
        <v>36</v>
      </c>
      <c r="U142" s="11" t="str">
        <f t="shared" si="3"/>
        <v>Saturday</v>
      </c>
    </row>
    <row r="143">
      <c r="A143" s="7">
        <v>143.0</v>
      </c>
      <c r="B143" s="20">
        <v>45689.0</v>
      </c>
      <c r="C143" s="7">
        <v>23.0</v>
      </c>
      <c r="D143" s="7" t="s">
        <v>69</v>
      </c>
      <c r="F143" s="7" t="s">
        <v>41</v>
      </c>
      <c r="H143" s="7" t="s">
        <v>33</v>
      </c>
      <c r="I143" s="7" t="s">
        <v>69</v>
      </c>
      <c r="J143" s="21" t="s">
        <v>69</v>
      </c>
      <c r="K143" s="21">
        <v>1.33</v>
      </c>
      <c r="L143" s="4">
        <v>2.0</v>
      </c>
      <c r="M143" s="7" t="s">
        <v>34</v>
      </c>
      <c r="N143" s="22">
        <v>2.67</v>
      </c>
      <c r="O143" s="22">
        <f t="shared" si="6"/>
        <v>0.67</v>
      </c>
      <c r="P143" s="23">
        <f t="shared" si="5"/>
        <v>259.74</v>
      </c>
      <c r="Q143" s="23">
        <f t="shared" si="1"/>
        <v>-40.27</v>
      </c>
      <c r="R143" s="9">
        <f t="shared" si="2"/>
        <v>-0.1342</v>
      </c>
      <c r="S143" s="24" t="s">
        <v>35</v>
      </c>
      <c r="T143" s="24" t="s">
        <v>36</v>
      </c>
      <c r="U143" s="11" t="str">
        <f t="shared" si="3"/>
        <v>Saturday</v>
      </c>
    </row>
    <row r="144">
      <c r="A144" s="7">
        <v>144.0</v>
      </c>
      <c r="B144" s="20">
        <v>45689.0</v>
      </c>
      <c r="C144" s="7">
        <v>24.0</v>
      </c>
      <c r="D144" s="7" t="s">
        <v>38</v>
      </c>
      <c r="F144" s="7" t="s">
        <v>42</v>
      </c>
      <c r="H144" s="7" t="s">
        <v>33</v>
      </c>
      <c r="I144" s="7" t="s">
        <v>42</v>
      </c>
      <c r="J144" s="21" t="s">
        <v>42</v>
      </c>
      <c r="K144" s="21">
        <v>2.0</v>
      </c>
      <c r="L144" s="4">
        <v>2.0</v>
      </c>
      <c r="M144" s="7" t="s">
        <v>44</v>
      </c>
      <c r="N144" s="22">
        <v>0.0</v>
      </c>
      <c r="O144" s="22">
        <f t="shared" si="6"/>
        <v>-2</v>
      </c>
      <c r="P144" s="23">
        <f t="shared" si="5"/>
        <v>257.74</v>
      </c>
      <c r="Q144" s="23">
        <f t="shared" si="1"/>
        <v>-42.27</v>
      </c>
      <c r="R144" s="9">
        <f t="shared" si="2"/>
        <v>-0.1408666667</v>
      </c>
      <c r="S144" s="24" t="s">
        <v>35</v>
      </c>
      <c r="T144" s="24" t="s">
        <v>36</v>
      </c>
      <c r="U144" s="11" t="str">
        <f t="shared" si="3"/>
        <v>Saturday</v>
      </c>
    </row>
    <row r="145">
      <c r="A145" s="7">
        <v>145.0</v>
      </c>
      <c r="B145" s="20">
        <v>45690.0</v>
      </c>
      <c r="C145" s="7">
        <v>24.0</v>
      </c>
      <c r="D145" s="7" t="s">
        <v>54</v>
      </c>
      <c r="F145" s="7" t="s">
        <v>88</v>
      </c>
      <c r="H145" s="7" t="s">
        <v>33</v>
      </c>
      <c r="I145" s="7" t="s">
        <v>54</v>
      </c>
      <c r="J145" s="21" t="s">
        <v>54</v>
      </c>
      <c r="K145" s="21">
        <v>2.05</v>
      </c>
      <c r="L145" s="4">
        <v>2.0</v>
      </c>
      <c r="M145" s="7" t="s">
        <v>44</v>
      </c>
      <c r="N145" s="22">
        <v>0.0</v>
      </c>
      <c r="O145" s="22">
        <f t="shared" si="6"/>
        <v>-2</v>
      </c>
      <c r="P145" s="23">
        <f t="shared" si="5"/>
        <v>255.74</v>
      </c>
      <c r="Q145" s="23">
        <f t="shared" si="1"/>
        <v>-44.27</v>
      </c>
      <c r="R145" s="9">
        <f t="shared" si="2"/>
        <v>-0.1475333333</v>
      </c>
      <c r="S145" s="24" t="s">
        <v>35</v>
      </c>
      <c r="T145" s="24" t="s">
        <v>36</v>
      </c>
      <c r="U145" s="11" t="str">
        <f t="shared" si="3"/>
        <v>Sunday</v>
      </c>
    </row>
    <row r="146">
      <c r="A146" s="7">
        <v>146.0</v>
      </c>
      <c r="B146" s="20">
        <v>45690.0</v>
      </c>
      <c r="C146" s="7">
        <v>24.0</v>
      </c>
      <c r="D146" s="7" t="s">
        <v>58</v>
      </c>
      <c r="F146" s="7" t="s">
        <v>61</v>
      </c>
      <c r="H146" s="7" t="s">
        <v>33</v>
      </c>
      <c r="I146" s="7" t="s">
        <v>61</v>
      </c>
      <c r="J146" s="21" t="s">
        <v>61</v>
      </c>
      <c r="K146" s="21">
        <v>1.7</v>
      </c>
      <c r="L146" s="4">
        <v>2.0</v>
      </c>
      <c r="M146" s="7" t="s">
        <v>34</v>
      </c>
      <c r="N146" s="22">
        <v>3.4</v>
      </c>
      <c r="O146" s="22">
        <f t="shared" si="6"/>
        <v>1.4</v>
      </c>
      <c r="P146" s="23">
        <f t="shared" si="5"/>
        <v>257.14</v>
      </c>
      <c r="Q146" s="23">
        <f t="shared" si="1"/>
        <v>-42.87</v>
      </c>
      <c r="R146" s="9">
        <f t="shared" si="2"/>
        <v>-0.1428666667</v>
      </c>
      <c r="S146" s="24" t="s">
        <v>35</v>
      </c>
      <c r="T146" s="24" t="s">
        <v>36</v>
      </c>
      <c r="U146" s="11" t="str">
        <f t="shared" si="3"/>
        <v>Sunday</v>
      </c>
    </row>
    <row r="147">
      <c r="A147" s="7">
        <v>147.0</v>
      </c>
      <c r="B147" s="20">
        <v>45690.0</v>
      </c>
      <c r="C147" s="7">
        <v>24.0</v>
      </c>
      <c r="D147" s="7" t="s">
        <v>78</v>
      </c>
      <c r="F147" s="7" t="s">
        <v>51</v>
      </c>
      <c r="H147" s="7" t="s">
        <v>55</v>
      </c>
      <c r="I147" s="7" t="s">
        <v>103</v>
      </c>
      <c r="J147" s="21" t="s">
        <v>78</v>
      </c>
      <c r="K147" s="21">
        <v>1.4</v>
      </c>
      <c r="L147" s="4">
        <v>2.0</v>
      </c>
      <c r="M147" s="7" t="s">
        <v>34</v>
      </c>
      <c r="N147" s="22">
        <v>2.8</v>
      </c>
      <c r="O147" s="22">
        <f t="shared" si="6"/>
        <v>0.8</v>
      </c>
      <c r="P147" s="23">
        <f t="shared" si="5"/>
        <v>257.94</v>
      </c>
      <c r="Q147" s="23">
        <f t="shared" si="1"/>
        <v>-42.07</v>
      </c>
      <c r="R147" s="9">
        <f t="shared" si="2"/>
        <v>-0.1402</v>
      </c>
      <c r="S147" s="24" t="s">
        <v>35</v>
      </c>
      <c r="T147" s="24" t="s">
        <v>36</v>
      </c>
      <c r="U147" s="11" t="str">
        <f t="shared" si="3"/>
        <v>Sunday</v>
      </c>
    </row>
    <row r="148">
      <c r="A148" s="7">
        <v>148.0</v>
      </c>
      <c r="B148" s="20">
        <v>45696.0</v>
      </c>
      <c r="C148" s="7" t="s">
        <v>73</v>
      </c>
      <c r="D148" s="7" t="s">
        <v>70</v>
      </c>
      <c r="F148" s="7" t="s">
        <v>70</v>
      </c>
      <c r="H148" s="7" t="s">
        <v>112</v>
      </c>
      <c r="I148" s="7" t="s">
        <v>130</v>
      </c>
      <c r="J148" s="21" t="s">
        <v>70</v>
      </c>
      <c r="K148" s="21">
        <v>2.91</v>
      </c>
      <c r="L148" s="4">
        <v>5.0</v>
      </c>
      <c r="M148" s="7" t="s">
        <v>44</v>
      </c>
      <c r="N148" s="22">
        <v>0.0</v>
      </c>
      <c r="O148" s="22">
        <f t="shared" si="6"/>
        <v>-5</v>
      </c>
      <c r="P148" s="23">
        <f t="shared" si="5"/>
        <v>252.94</v>
      </c>
      <c r="Q148" s="23">
        <f t="shared" si="1"/>
        <v>-47.07</v>
      </c>
      <c r="R148" s="9">
        <f t="shared" si="2"/>
        <v>-0.1568666667</v>
      </c>
      <c r="S148" s="24" t="s">
        <v>125</v>
      </c>
      <c r="T148" s="24" t="s">
        <v>36</v>
      </c>
      <c r="U148" s="11" t="str">
        <f t="shared" si="3"/>
        <v>Saturday</v>
      </c>
    </row>
    <row r="149">
      <c r="A149" s="7">
        <v>149.0</v>
      </c>
      <c r="B149" s="20">
        <v>45703.0</v>
      </c>
      <c r="C149" s="7">
        <v>25.0</v>
      </c>
      <c r="D149" s="7" t="s">
        <v>88</v>
      </c>
      <c r="F149" s="7" t="s">
        <v>58</v>
      </c>
      <c r="H149" s="7" t="s">
        <v>33</v>
      </c>
      <c r="I149" s="7" t="s">
        <v>58</v>
      </c>
      <c r="J149" s="21" t="s">
        <v>58</v>
      </c>
      <c r="K149" s="21">
        <v>1.45</v>
      </c>
      <c r="L149" s="4">
        <v>2.0</v>
      </c>
      <c r="M149" s="7" t="s">
        <v>34</v>
      </c>
      <c r="N149" s="22">
        <v>2.9</v>
      </c>
      <c r="O149" s="22">
        <f t="shared" si="6"/>
        <v>0.9</v>
      </c>
      <c r="P149" s="23">
        <f t="shared" si="5"/>
        <v>253.84</v>
      </c>
      <c r="Q149" s="23">
        <f t="shared" si="1"/>
        <v>-46.17</v>
      </c>
      <c r="R149" s="9">
        <f t="shared" si="2"/>
        <v>-0.1538666667</v>
      </c>
      <c r="S149" s="24" t="s">
        <v>35</v>
      </c>
      <c r="T149" s="24" t="s">
        <v>36</v>
      </c>
      <c r="U149" s="11" t="str">
        <f t="shared" si="3"/>
        <v>Saturday</v>
      </c>
    </row>
    <row r="150">
      <c r="A150" s="7">
        <v>150.0</v>
      </c>
      <c r="B150" s="20">
        <v>45703.0</v>
      </c>
      <c r="C150" s="7">
        <v>25.0</v>
      </c>
      <c r="D150" s="7" t="s">
        <v>32</v>
      </c>
      <c r="F150" s="7" t="s">
        <v>78</v>
      </c>
      <c r="H150" s="7" t="s">
        <v>55</v>
      </c>
      <c r="I150" s="7" t="s">
        <v>103</v>
      </c>
      <c r="J150" s="21" t="s">
        <v>78</v>
      </c>
      <c r="K150" s="21">
        <v>1.66</v>
      </c>
      <c r="L150" s="4">
        <v>2.0</v>
      </c>
      <c r="M150" s="7" t="s">
        <v>44</v>
      </c>
      <c r="N150" s="22">
        <v>0.0</v>
      </c>
      <c r="O150" s="22">
        <f t="shared" si="6"/>
        <v>-2</v>
      </c>
      <c r="P150" s="23">
        <f t="shared" si="5"/>
        <v>251.84</v>
      </c>
      <c r="Q150" s="23">
        <f t="shared" si="1"/>
        <v>-48.17</v>
      </c>
      <c r="R150" s="9">
        <f t="shared" si="2"/>
        <v>-0.1605333333</v>
      </c>
      <c r="S150" s="24" t="s">
        <v>35</v>
      </c>
      <c r="T150" s="24" t="s">
        <v>36</v>
      </c>
      <c r="U150" s="11" t="str">
        <f t="shared" si="3"/>
        <v>Saturday</v>
      </c>
    </row>
    <row r="151">
      <c r="A151" s="7">
        <v>151.0</v>
      </c>
      <c r="B151" s="20">
        <v>45703.0</v>
      </c>
      <c r="C151" s="7">
        <v>25.0</v>
      </c>
      <c r="D151" s="7" t="s">
        <v>42</v>
      </c>
      <c r="F151" s="7" t="s">
        <v>54</v>
      </c>
      <c r="H151" s="7" t="s">
        <v>33</v>
      </c>
      <c r="I151" s="7" t="s">
        <v>42</v>
      </c>
      <c r="J151" s="21" t="s">
        <v>42</v>
      </c>
      <c r="K151" s="21">
        <v>1.48</v>
      </c>
      <c r="L151" s="4">
        <v>2.0</v>
      </c>
      <c r="M151" s="7" t="s">
        <v>44</v>
      </c>
      <c r="N151" s="22">
        <v>0.0</v>
      </c>
      <c r="O151" s="22">
        <f t="shared" si="6"/>
        <v>-2</v>
      </c>
      <c r="P151" s="23">
        <f t="shared" si="5"/>
        <v>249.84</v>
      </c>
      <c r="Q151" s="23">
        <f t="shared" si="1"/>
        <v>-50.17</v>
      </c>
      <c r="R151" s="9">
        <f t="shared" si="2"/>
        <v>-0.1672</v>
      </c>
      <c r="S151" s="24" t="s">
        <v>35</v>
      </c>
      <c r="T151" s="24" t="s">
        <v>36</v>
      </c>
      <c r="U151" s="11" t="str">
        <f t="shared" si="3"/>
        <v>Saturday</v>
      </c>
    </row>
    <row r="152">
      <c r="A152" s="7">
        <v>152.0</v>
      </c>
      <c r="B152" s="20">
        <v>45703.0</v>
      </c>
      <c r="C152" s="7">
        <v>25.0</v>
      </c>
      <c r="D152" s="7" t="s">
        <v>49</v>
      </c>
      <c r="F152" s="7" t="s">
        <v>37</v>
      </c>
      <c r="H152" s="7" t="s">
        <v>33</v>
      </c>
      <c r="I152" s="7" t="s">
        <v>37</v>
      </c>
      <c r="J152" s="21" t="s">
        <v>37</v>
      </c>
      <c r="K152" s="21">
        <v>1.3</v>
      </c>
      <c r="L152" s="4">
        <v>2.0</v>
      </c>
      <c r="M152" s="7" t="s">
        <v>34</v>
      </c>
      <c r="N152" s="22">
        <v>2.6</v>
      </c>
      <c r="O152" s="22">
        <f t="shared" si="6"/>
        <v>0.6</v>
      </c>
      <c r="P152" s="23">
        <f t="shared" si="5"/>
        <v>250.44</v>
      </c>
      <c r="Q152" s="23">
        <f t="shared" si="1"/>
        <v>-49.57</v>
      </c>
      <c r="R152" s="9">
        <f t="shared" si="2"/>
        <v>-0.1652</v>
      </c>
      <c r="S152" s="24" t="s">
        <v>35</v>
      </c>
      <c r="T152" s="24" t="s">
        <v>36</v>
      </c>
      <c r="U152" s="11" t="str">
        <f t="shared" si="3"/>
        <v>Saturday</v>
      </c>
    </row>
    <row r="153">
      <c r="A153" s="7">
        <v>153.0</v>
      </c>
      <c r="B153" s="20">
        <v>45705.0</v>
      </c>
      <c r="C153" s="7">
        <v>25.0</v>
      </c>
      <c r="D153" s="7" t="s">
        <v>61</v>
      </c>
      <c r="F153" s="7" t="s">
        <v>38</v>
      </c>
      <c r="H153" s="7" t="s">
        <v>55</v>
      </c>
      <c r="I153" s="7" t="s">
        <v>62</v>
      </c>
      <c r="J153" s="21" t="s">
        <v>61</v>
      </c>
      <c r="K153" s="21">
        <v>1.57</v>
      </c>
      <c r="L153" s="4">
        <v>2.0</v>
      </c>
      <c r="M153" s="7" t="s">
        <v>44</v>
      </c>
      <c r="N153" s="22">
        <v>0.0</v>
      </c>
      <c r="O153" s="22">
        <f t="shared" si="6"/>
        <v>-2</v>
      </c>
      <c r="P153" s="23">
        <f t="shared" si="5"/>
        <v>248.44</v>
      </c>
      <c r="Q153" s="23">
        <f t="shared" si="1"/>
        <v>-51.57</v>
      </c>
      <c r="R153" s="9">
        <f t="shared" si="2"/>
        <v>-0.1718666667</v>
      </c>
      <c r="S153" s="24" t="s">
        <v>35</v>
      </c>
      <c r="T153" s="24" t="s">
        <v>36</v>
      </c>
      <c r="U153" s="11" t="str">
        <f t="shared" si="3"/>
        <v>Monday</v>
      </c>
    </row>
    <row r="154">
      <c r="A154" s="7">
        <v>154.0</v>
      </c>
      <c r="B154" s="20">
        <v>45705.0</v>
      </c>
      <c r="C154" s="7">
        <v>25.0</v>
      </c>
      <c r="D154" s="7" t="s">
        <v>61</v>
      </c>
      <c r="F154" s="7" t="s">
        <v>38</v>
      </c>
      <c r="H154" s="7" t="s">
        <v>55</v>
      </c>
      <c r="I154" s="7" t="s">
        <v>131</v>
      </c>
      <c r="J154" s="21" t="s">
        <v>61</v>
      </c>
      <c r="K154" s="21">
        <v>2.37</v>
      </c>
      <c r="L154" s="4">
        <v>1.0</v>
      </c>
      <c r="M154" s="7" t="s">
        <v>44</v>
      </c>
      <c r="N154" s="22">
        <v>0.0</v>
      </c>
      <c r="O154" s="22">
        <f t="shared" si="6"/>
        <v>-1</v>
      </c>
      <c r="P154" s="23">
        <f t="shared" si="5"/>
        <v>247.44</v>
      </c>
      <c r="Q154" s="23">
        <f t="shared" si="1"/>
        <v>-52.57</v>
      </c>
      <c r="R154" s="9">
        <f t="shared" si="2"/>
        <v>-0.1752</v>
      </c>
      <c r="S154" s="24" t="s">
        <v>35</v>
      </c>
      <c r="T154" s="24" t="s">
        <v>36</v>
      </c>
      <c r="U154" s="11" t="str">
        <f t="shared" si="3"/>
        <v>Monday</v>
      </c>
    </row>
    <row r="155">
      <c r="A155" s="7">
        <v>155.0</v>
      </c>
      <c r="B155" s="20">
        <v>45710.0</v>
      </c>
      <c r="C155" s="7">
        <v>26.0</v>
      </c>
      <c r="D155" s="7" t="s">
        <v>49</v>
      </c>
      <c r="F155" s="7" t="s">
        <v>45</v>
      </c>
      <c r="H155" s="7" t="s">
        <v>33</v>
      </c>
      <c r="I155" s="7" t="s">
        <v>45</v>
      </c>
      <c r="J155" s="21" t="s">
        <v>45</v>
      </c>
      <c r="K155" s="21">
        <v>1.95</v>
      </c>
      <c r="L155" s="4">
        <v>2.0</v>
      </c>
      <c r="M155" s="7" t="s">
        <v>34</v>
      </c>
      <c r="N155" s="22">
        <v>3.9</v>
      </c>
      <c r="O155" s="22">
        <f t="shared" si="6"/>
        <v>1.9</v>
      </c>
      <c r="P155" s="23">
        <f t="shared" si="5"/>
        <v>249.34</v>
      </c>
      <c r="Q155" s="23">
        <f t="shared" si="1"/>
        <v>-50.67</v>
      </c>
      <c r="R155" s="9">
        <f t="shared" si="2"/>
        <v>-0.1688666667</v>
      </c>
      <c r="S155" s="24" t="s">
        <v>35</v>
      </c>
      <c r="T155" s="24" t="s">
        <v>36</v>
      </c>
      <c r="U155" s="11" t="str">
        <f t="shared" si="3"/>
        <v>Saturday</v>
      </c>
    </row>
    <row r="156">
      <c r="A156" s="7">
        <v>156.0</v>
      </c>
      <c r="B156" s="20">
        <v>45710.0</v>
      </c>
      <c r="C156" s="7">
        <v>26.0</v>
      </c>
      <c r="D156" s="7" t="s">
        <v>37</v>
      </c>
      <c r="F156" s="7" t="s">
        <v>41</v>
      </c>
      <c r="H156" s="7" t="s">
        <v>33</v>
      </c>
      <c r="I156" s="7" t="s">
        <v>37</v>
      </c>
      <c r="J156" s="21" t="s">
        <v>37</v>
      </c>
      <c r="K156" s="21">
        <v>1.27</v>
      </c>
      <c r="L156" s="4">
        <v>2.0</v>
      </c>
      <c r="M156" s="7" t="s">
        <v>44</v>
      </c>
      <c r="N156" s="22">
        <v>0.0</v>
      </c>
      <c r="O156" s="22">
        <f t="shared" si="6"/>
        <v>-2</v>
      </c>
      <c r="P156" s="23">
        <f t="shared" si="5"/>
        <v>247.34</v>
      </c>
      <c r="Q156" s="23">
        <f t="shared" si="1"/>
        <v>-52.67</v>
      </c>
      <c r="R156" s="9">
        <f t="shared" si="2"/>
        <v>-0.1755333333</v>
      </c>
      <c r="S156" s="24" t="s">
        <v>35</v>
      </c>
      <c r="T156" s="24" t="s">
        <v>36</v>
      </c>
      <c r="U156" s="11" t="str">
        <f t="shared" si="3"/>
        <v>Saturday</v>
      </c>
    </row>
    <row r="157">
      <c r="A157" s="7">
        <v>157.0</v>
      </c>
      <c r="B157" s="20">
        <v>45711.0</v>
      </c>
      <c r="C157" s="7">
        <v>26.0</v>
      </c>
      <c r="D157" s="7" t="s">
        <v>58</v>
      </c>
      <c r="F157" s="7" t="s">
        <v>38</v>
      </c>
      <c r="H157" s="7" t="s">
        <v>33</v>
      </c>
      <c r="I157" s="7" t="s">
        <v>58</v>
      </c>
      <c r="J157" s="21" t="s">
        <v>58</v>
      </c>
      <c r="K157" s="21">
        <v>1.6</v>
      </c>
      <c r="L157" s="4">
        <v>2.0</v>
      </c>
      <c r="M157" s="7" t="s">
        <v>44</v>
      </c>
      <c r="N157" s="22">
        <v>0.0</v>
      </c>
      <c r="O157" s="22">
        <f t="shared" si="6"/>
        <v>-2</v>
      </c>
      <c r="P157" s="23">
        <f t="shared" si="5"/>
        <v>245.34</v>
      </c>
      <c r="Q157" s="23">
        <f t="shared" si="1"/>
        <v>-54.67</v>
      </c>
      <c r="R157" s="9">
        <f t="shared" si="2"/>
        <v>-0.1822</v>
      </c>
      <c r="S157" s="24" t="s">
        <v>35</v>
      </c>
      <c r="T157" s="24" t="s">
        <v>36</v>
      </c>
      <c r="U157" s="11" t="str">
        <f t="shared" si="3"/>
        <v>Sunday</v>
      </c>
    </row>
    <row r="158">
      <c r="A158" s="7">
        <v>158.0</v>
      </c>
      <c r="B158" s="20">
        <v>45711.0</v>
      </c>
      <c r="C158" s="7">
        <v>26.0</v>
      </c>
      <c r="D158" s="7" t="s">
        <v>59</v>
      </c>
      <c r="F158" s="7" t="s">
        <v>78</v>
      </c>
      <c r="H158" s="7" t="s">
        <v>33</v>
      </c>
      <c r="I158" s="7" t="s">
        <v>78</v>
      </c>
      <c r="J158" s="21" t="s">
        <v>78</v>
      </c>
      <c r="K158" s="21">
        <v>4.1</v>
      </c>
      <c r="L158" s="4">
        <v>2.0</v>
      </c>
      <c r="M158" s="7" t="s">
        <v>44</v>
      </c>
      <c r="N158" s="22">
        <v>0.0</v>
      </c>
      <c r="O158" s="22">
        <f t="shared" si="6"/>
        <v>-2</v>
      </c>
      <c r="P158" s="23">
        <f t="shared" si="5"/>
        <v>243.34</v>
      </c>
      <c r="Q158" s="23">
        <f t="shared" si="1"/>
        <v>-56.67</v>
      </c>
      <c r="R158" s="9">
        <f t="shared" si="2"/>
        <v>-0.1888666667</v>
      </c>
      <c r="S158" s="24" t="s">
        <v>35</v>
      </c>
      <c r="T158" s="24" t="s">
        <v>36</v>
      </c>
      <c r="U158" s="11" t="str">
        <f t="shared" si="3"/>
        <v>Sunday</v>
      </c>
    </row>
    <row r="159">
      <c r="A159" s="7">
        <v>159.0</v>
      </c>
      <c r="B159" s="20">
        <v>45711.0</v>
      </c>
      <c r="C159" s="7">
        <v>26.0</v>
      </c>
      <c r="D159" s="7" t="s">
        <v>88</v>
      </c>
      <c r="F159" s="7" t="s">
        <v>51</v>
      </c>
      <c r="H159" s="7" t="s">
        <v>33</v>
      </c>
      <c r="I159" s="7" t="s">
        <v>51</v>
      </c>
      <c r="J159" s="21" t="s">
        <v>51</v>
      </c>
      <c r="K159" s="21">
        <v>1.53</v>
      </c>
      <c r="L159" s="4">
        <v>2.0</v>
      </c>
      <c r="M159" s="7" t="s">
        <v>34</v>
      </c>
      <c r="N159" s="22">
        <v>3.07</v>
      </c>
      <c r="O159" s="22">
        <f t="shared" si="6"/>
        <v>1.07</v>
      </c>
      <c r="P159" s="23">
        <f t="shared" si="5"/>
        <v>244.41</v>
      </c>
      <c r="Q159" s="23">
        <f t="shared" si="1"/>
        <v>-55.6</v>
      </c>
      <c r="R159" s="9">
        <f t="shared" si="2"/>
        <v>-0.1853</v>
      </c>
      <c r="S159" s="24" t="s">
        <v>35</v>
      </c>
      <c r="T159" s="24" t="s">
        <v>36</v>
      </c>
      <c r="U159" s="11" t="str">
        <f t="shared" si="3"/>
        <v>Sunday</v>
      </c>
    </row>
    <row r="160">
      <c r="A160" s="7">
        <v>160.0</v>
      </c>
      <c r="B160" s="20">
        <v>45716.0</v>
      </c>
      <c r="C160" s="7">
        <v>27.0</v>
      </c>
      <c r="D160" s="7" t="s">
        <v>41</v>
      </c>
      <c r="F160" s="7" t="s">
        <v>49</v>
      </c>
      <c r="H160" s="7" t="s">
        <v>33</v>
      </c>
      <c r="I160" s="7" t="s">
        <v>41</v>
      </c>
      <c r="J160" s="21" t="s">
        <v>41</v>
      </c>
      <c r="K160" s="21">
        <v>1.61</v>
      </c>
      <c r="L160" s="4">
        <v>2.0</v>
      </c>
      <c r="M160" s="7" t="s">
        <v>34</v>
      </c>
      <c r="N160" s="22">
        <v>3.24</v>
      </c>
      <c r="O160" s="22">
        <f t="shared" si="6"/>
        <v>1.24</v>
      </c>
      <c r="P160" s="23">
        <f t="shared" si="5"/>
        <v>245.65</v>
      </c>
      <c r="Q160" s="23">
        <f t="shared" si="1"/>
        <v>-54.36</v>
      </c>
      <c r="R160" s="9">
        <f t="shared" si="2"/>
        <v>-0.1811666667</v>
      </c>
      <c r="S160" s="24" t="s">
        <v>35</v>
      </c>
      <c r="T160" s="24" t="s">
        <v>36</v>
      </c>
      <c r="U160" s="11" t="str">
        <f t="shared" si="3"/>
        <v>Friday</v>
      </c>
    </row>
    <row r="161">
      <c r="A161" s="7">
        <v>161.0</v>
      </c>
      <c r="B161" s="20">
        <v>45716.0</v>
      </c>
      <c r="C161" s="7">
        <v>27.0</v>
      </c>
      <c r="D161" s="7" t="s">
        <v>31</v>
      </c>
      <c r="F161" s="7" t="s">
        <v>54</v>
      </c>
      <c r="H161" s="7" t="s">
        <v>33</v>
      </c>
      <c r="I161" s="7" t="s">
        <v>31</v>
      </c>
      <c r="J161" s="21" t="s">
        <v>31</v>
      </c>
      <c r="K161" s="21">
        <v>1.53</v>
      </c>
      <c r="L161" s="4">
        <v>2.0</v>
      </c>
      <c r="M161" s="7" t="s">
        <v>34</v>
      </c>
      <c r="N161" s="22">
        <v>3.07</v>
      </c>
      <c r="O161" s="22">
        <f t="shared" si="6"/>
        <v>1.07</v>
      </c>
      <c r="P161" s="23">
        <f t="shared" si="5"/>
        <v>246.72</v>
      </c>
      <c r="Q161" s="23">
        <f t="shared" si="1"/>
        <v>-53.29</v>
      </c>
      <c r="R161" s="9">
        <f t="shared" si="2"/>
        <v>-0.1776</v>
      </c>
      <c r="S161" s="24" t="s">
        <v>35</v>
      </c>
      <c r="T161" s="24" t="s">
        <v>36</v>
      </c>
      <c r="U161" s="11" t="str">
        <f t="shared" si="3"/>
        <v>Friday</v>
      </c>
    </row>
    <row r="162">
      <c r="A162" s="7">
        <v>162.0</v>
      </c>
      <c r="B162" s="20">
        <v>45716.0</v>
      </c>
      <c r="C162" s="7">
        <v>27.0</v>
      </c>
      <c r="D162" s="7" t="s">
        <v>45</v>
      </c>
      <c r="F162" s="7" t="s">
        <v>57</v>
      </c>
      <c r="H162" s="7" t="s">
        <v>33</v>
      </c>
      <c r="I162" s="7" t="s">
        <v>45</v>
      </c>
      <c r="J162" s="21" t="s">
        <v>45</v>
      </c>
      <c r="K162" s="21">
        <v>2.0</v>
      </c>
      <c r="L162" s="4">
        <v>2.0</v>
      </c>
      <c r="M162" s="7" t="s">
        <v>44</v>
      </c>
      <c r="N162" s="22">
        <v>0.0</v>
      </c>
      <c r="O162" s="22">
        <f t="shared" si="6"/>
        <v>-2</v>
      </c>
      <c r="P162" s="23">
        <f t="shared" si="5"/>
        <v>244.72</v>
      </c>
      <c r="Q162" s="23">
        <f t="shared" si="1"/>
        <v>-55.29</v>
      </c>
      <c r="R162" s="9">
        <f t="shared" si="2"/>
        <v>-0.1842666667</v>
      </c>
      <c r="S162" s="24" t="s">
        <v>35</v>
      </c>
      <c r="T162" s="24" t="s">
        <v>36</v>
      </c>
      <c r="U162" s="11" t="str">
        <f t="shared" si="3"/>
        <v>Friday</v>
      </c>
    </row>
    <row r="163">
      <c r="A163" s="7">
        <v>163.0</v>
      </c>
      <c r="B163" s="20">
        <v>45716.0</v>
      </c>
      <c r="C163" s="7">
        <v>27.0</v>
      </c>
      <c r="D163" s="7" t="s">
        <v>46</v>
      </c>
      <c r="F163" s="7" t="s">
        <v>42</v>
      </c>
      <c r="H163" s="7" t="s">
        <v>55</v>
      </c>
      <c r="I163" s="7" t="s">
        <v>132</v>
      </c>
      <c r="J163" s="21" t="s">
        <v>42</v>
      </c>
      <c r="K163" s="21">
        <v>1.53</v>
      </c>
      <c r="L163" s="4">
        <v>2.0</v>
      </c>
      <c r="M163" s="7" t="s">
        <v>44</v>
      </c>
      <c r="N163" s="22">
        <v>0.0</v>
      </c>
      <c r="O163" s="22">
        <f t="shared" si="6"/>
        <v>-2</v>
      </c>
      <c r="P163" s="23">
        <f t="shared" si="5"/>
        <v>242.72</v>
      </c>
      <c r="Q163" s="23">
        <f t="shared" si="1"/>
        <v>-57.29</v>
      </c>
      <c r="R163" s="9">
        <f t="shared" si="2"/>
        <v>-0.1909333333</v>
      </c>
      <c r="S163" s="24" t="s">
        <v>35</v>
      </c>
      <c r="T163" s="24" t="s">
        <v>36</v>
      </c>
      <c r="U163" s="11" t="str">
        <f t="shared" si="3"/>
        <v>Friday</v>
      </c>
    </row>
    <row r="164">
      <c r="A164" s="7">
        <v>164.0</v>
      </c>
      <c r="B164" s="20">
        <v>45718.0</v>
      </c>
      <c r="D164" s="7" t="s">
        <v>70</v>
      </c>
      <c r="F164" s="7" t="s">
        <v>70</v>
      </c>
      <c r="H164" s="7" t="s">
        <v>112</v>
      </c>
      <c r="I164" s="7" t="s">
        <v>133</v>
      </c>
      <c r="J164" s="21" t="s">
        <v>70</v>
      </c>
      <c r="K164" s="21">
        <v>2.22</v>
      </c>
      <c r="L164" s="4">
        <v>5.0</v>
      </c>
      <c r="M164" s="7" t="s">
        <v>44</v>
      </c>
      <c r="N164" s="22">
        <v>0.0</v>
      </c>
      <c r="O164" s="22">
        <f t="shared" si="6"/>
        <v>-5</v>
      </c>
      <c r="P164" s="23">
        <f t="shared" si="5"/>
        <v>237.72</v>
      </c>
      <c r="Q164" s="23">
        <f t="shared" si="1"/>
        <v>-62.29</v>
      </c>
      <c r="R164" s="9">
        <f t="shared" si="2"/>
        <v>-0.2076</v>
      </c>
      <c r="S164" s="24" t="s">
        <v>125</v>
      </c>
      <c r="T164" s="24" t="s">
        <v>36</v>
      </c>
      <c r="U164" s="11" t="str">
        <f t="shared" si="3"/>
        <v>Sunday</v>
      </c>
    </row>
    <row r="165">
      <c r="A165" s="7">
        <v>165.0</v>
      </c>
      <c r="B165" s="20">
        <v>45718.0</v>
      </c>
      <c r="D165" s="7" t="s">
        <v>70</v>
      </c>
      <c r="F165" s="7" t="s">
        <v>70</v>
      </c>
      <c r="H165" s="7" t="s">
        <v>112</v>
      </c>
      <c r="I165" s="7" t="s">
        <v>134</v>
      </c>
      <c r="J165" s="21" t="s">
        <v>70</v>
      </c>
      <c r="K165" s="21">
        <v>3.822</v>
      </c>
      <c r="L165" s="4">
        <v>5.0</v>
      </c>
      <c r="M165" s="7" t="s">
        <v>44</v>
      </c>
      <c r="N165" s="22">
        <v>0.0</v>
      </c>
      <c r="O165" s="22">
        <f t="shared" si="6"/>
        <v>-5</v>
      </c>
      <c r="P165" s="23">
        <f t="shared" si="5"/>
        <v>232.72</v>
      </c>
      <c r="Q165" s="23">
        <f t="shared" si="1"/>
        <v>-67.29</v>
      </c>
      <c r="R165" s="9">
        <f t="shared" si="2"/>
        <v>-0.2242666667</v>
      </c>
      <c r="S165" s="24" t="s">
        <v>125</v>
      </c>
      <c r="T165" s="24" t="s">
        <v>36</v>
      </c>
      <c r="U165" s="11" t="str">
        <f t="shared" si="3"/>
        <v>Sunday</v>
      </c>
    </row>
    <row r="166">
      <c r="A166" s="7">
        <v>166.0</v>
      </c>
      <c r="B166" s="20">
        <v>45726.0</v>
      </c>
      <c r="C166" s="7">
        <v>28.0</v>
      </c>
      <c r="D166" s="7" t="s">
        <v>31</v>
      </c>
      <c r="F166" s="7" t="s">
        <v>37</v>
      </c>
      <c r="H166" s="7" t="s">
        <v>33</v>
      </c>
      <c r="I166" s="7" t="s">
        <v>37</v>
      </c>
      <c r="J166" s="21" t="s">
        <v>37</v>
      </c>
      <c r="K166" s="21">
        <v>1.7</v>
      </c>
      <c r="L166" s="4">
        <v>2.0</v>
      </c>
      <c r="M166" s="7" t="s">
        <v>44</v>
      </c>
      <c r="N166" s="22">
        <v>0.0</v>
      </c>
      <c r="O166" s="22">
        <f t="shared" si="6"/>
        <v>-2</v>
      </c>
      <c r="P166" s="23">
        <f t="shared" si="5"/>
        <v>230.72</v>
      </c>
      <c r="Q166" s="23">
        <f t="shared" si="1"/>
        <v>-69.29</v>
      </c>
      <c r="R166" s="9">
        <f t="shared" si="2"/>
        <v>-0.2309333333</v>
      </c>
      <c r="S166" s="24" t="s">
        <v>35</v>
      </c>
      <c r="T166" s="24" t="s">
        <v>36</v>
      </c>
      <c r="U166" s="11" t="str">
        <f t="shared" si="3"/>
        <v>Monday</v>
      </c>
    </row>
    <row r="167">
      <c r="A167" s="7">
        <v>167.0</v>
      </c>
      <c r="B167" s="20">
        <v>45726.0</v>
      </c>
      <c r="C167" s="7">
        <v>28.0</v>
      </c>
      <c r="D167" s="7" t="s">
        <v>70</v>
      </c>
      <c r="F167" s="7" t="s">
        <v>70</v>
      </c>
      <c r="H167" s="7" t="s">
        <v>112</v>
      </c>
      <c r="I167" s="7" t="s">
        <v>135</v>
      </c>
      <c r="J167" s="21" t="s">
        <v>70</v>
      </c>
      <c r="K167" s="21">
        <v>1.18</v>
      </c>
      <c r="L167" s="4">
        <v>2.0</v>
      </c>
      <c r="M167" s="7" t="s">
        <v>34</v>
      </c>
      <c r="N167" s="22">
        <v>2.37</v>
      </c>
      <c r="O167" s="22">
        <f t="shared" si="6"/>
        <v>0.37</v>
      </c>
      <c r="P167" s="23">
        <f t="shared" si="5"/>
        <v>231.09</v>
      </c>
      <c r="Q167" s="23">
        <f t="shared" si="1"/>
        <v>-68.92</v>
      </c>
      <c r="R167" s="9">
        <f t="shared" si="2"/>
        <v>-0.2297</v>
      </c>
      <c r="S167" s="24" t="s">
        <v>35</v>
      </c>
      <c r="T167" s="24" t="s">
        <v>36</v>
      </c>
      <c r="U167" s="11" t="str">
        <f t="shared" si="3"/>
        <v>Monday</v>
      </c>
    </row>
    <row r="168">
      <c r="A168" s="7">
        <v>168.0</v>
      </c>
      <c r="B168" s="20">
        <v>45726.0</v>
      </c>
      <c r="C168" s="7">
        <v>28.0</v>
      </c>
      <c r="D168" s="7" t="s">
        <v>46</v>
      </c>
      <c r="F168" s="7" t="s">
        <v>54</v>
      </c>
      <c r="H168" s="7" t="s">
        <v>33</v>
      </c>
      <c r="I168" s="7" t="s">
        <v>46</v>
      </c>
      <c r="J168" s="21" t="s">
        <v>46</v>
      </c>
      <c r="K168" s="21">
        <v>1.55</v>
      </c>
      <c r="L168" s="4">
        <v>5.0</v>
      </c>
      <c r="M168" s="7" t="s">
        <v>34</v>
      </c>
      <c r="N168" s="22">
        <v>7.75</v>
      </c>
      <c r="O168" s="22">
        <f t="shared" si="6"/>
        <v>2.75</v>
      </c>
      <c r="P168" s="23">
        <f t="shared" si="5"/>
        <v>233.84</v>
      </c>
      <c r="Q168" s="23">
        <f t="shared" si="1"/>
        <v>-66.17</v>
      </c>
      <c r="R168" s="9">
        <f t="shared" si="2"/>
        <v>-0.2205333333</v>
      </c>
      <c r="S168" s="24" t="s">
        <v>35</v>
      </c>
      <c r="T168" s="24" t="s">
        <v>36</v>
      </c>
      <c r="U168" s="11" t="str">
        <f t="shared" si="3"/>
        <v>Monday</v>
      </c>
    </row>
    <row r="169">
      <c r="A169" s="7">
        <v>169.0</v>
      </c>
      <c r="B169" s="20">
        <v>45726.0</v>
      </c>
      <c r="C169" s="7">
        <v>28.0</v>
      </c>
      <c r="D169" s="7" t="s">
        <v>51</v>
      </c>
      <c r="F169" s="7" t="s">
        <v>32</v>
      </c>
      <c r="H169" s="7" t="s">
        <v>55</v>
      </c>
      <c r="I169" s="7" t="s">
        <v>136</v>
      </c>
      <c r="J169" s="21" t="s">
        <v>51</v>
      </c>
      <c r="K169" s="21">
        <v>1.28</v>
      </c>
      <c r="L169" s="4">
        <v>2.0</v>
      </c>
      <c r="M169" s="7" t="s">
        <v>34</v>
      </c>
      <c r="N169" s="22">
        <v>2.58</v>
      </c>
      <c r="O169" s="22">
        <f t="shared" si="6"/>
        <v>0.58</v>
      </c>
      <c r="P169" s="23">
        <f t="shared" si="5"/>
        <v>234.42</v>
      </c>
      <c r="Q169" s="23">
        <f t="shared" si="1"/>
        <v>-65.59</v>
      </c>
      <c r="R169" s="9">
        <f t="shared" si="2"/>
        <v>-0.2186</v>
      </c>
      <c r="S169" s="24" t="s">
        <v>35</v>
      </c>
      <c r="T169" s="24" t="s">
        <v>36</v>
      </c>
      <c r="U169" s="11" t="str">
        <f t="shared" si="3"/>
        <v>Monday</v>
      </c>
    </row>
    <row r="170">
      <c r="A170" s="7">
        <v>170.0</v>
      </c>
      <c r="B170" s="20">
        <v>45726.0</v>
      </c>
      <c r="C170" s="7">
        <v>28.0</v>
      </c>
      <c r="D170" s="7" t="s">
        <v>78</v>
      </c>
      <c r="F170" s="7" t="s">
        <v>53</v>
      </c>
      <c r="H170" s="7" t="s">
        <v>82</v>
      </c>
      <c r="I170" s="7" t="s">
        <v>83</v>
      </c>
      <c r="J170" s="21" t="s">
        <v>70</v>
      </c>
      <c r="K170" s="21">
        <v>1.53</v>
      </c>
      <c r="L170" s="4">
        <v>2.0</v>
      </c>
      <c r="M170" s="7" t="s">
        <v>44</v>
      </c>
      <c r="N170" s="22">
        <v>0.0</v>
      </c>
      <c r="O170" s="22">
        <f t="shared" si="6"/>
        <v>-2</v>
      </c>
      <c r="P170" s="23">
        <f t="shared" si="5"/>
        <v>232.42</v>
      </c>
      <c r="Q170" s="23">
        <f t="shared" si="1"/>
        <v>-67.59</v>
      </c>
      <c r="R170" s="9">
        <f t="shared" si="2"/>
        <v>-0.2252666667</v>
      </c>
      <c r="S170" s="24" t="s">
        <v>35</v>
      </c>
      <c r="T170" s="24" t="s">
        <v>36</v>
      </c>
      <c r="U170" s="11" t="str">
        <f t="shared" si="3"/>
        <v>Monday</v>
      </c>
    </row>
    <row r="171">
      <c r="A171" s="7">
        <v>171.0</v>
      </c>
      <c r="B171" s="20">
        <v>45732.0</v>
      </c>
      <c r="C171" s="7">
        <v>29.0</v>
      </c>
      <c r="D171" s="7" t="s">
        <v>54</v>
      </c>
      <c r="F171" s="7" t="s">
        <v>78</v>
      </c>
      <c r="H171" s="7" t="s">
        <v>137</v>
      </c>
      <c r="I171" s="7" t="s">
        <v>138</v>
      </c>
      <c r="J171" s="21" t="s">
        <v>78</v>
      </c>
      <c r="K171" s="21">
        <v>2.4</v>
      </c>
      <c r="L171" s="4">
        <v>1.0</v>
      </c>
      <c r="M171" s="7" t="s">
        <v>44</v>
      </c>
      <c r="N171" s="22">
        <v>0.0</v>
      </c>
      <c r="O171" s="22">
        <f t="shared" si="6"/>
        <v>-1</v>
      </c>
      <c r="P171" s="23">
        <f t="shared" si="5"/>
        <v>231.42</v>
      </c>
      <c r="Q171" s="23">
        <f t="shared" si="1"/>
        <v>-68.59</v>
      </c>
      <c r="R171" s="9">
        <f t="shared" si="2"/>
        <v>-0.2286</v>
      </c>
      <c r="S171" s="24" t="s">
        <v>35</v>
      </c>
      <c r="T171" s="24" t="s">
        <v>36</v>
      </c>
      <c r="U171" s="11" t="str">
        <f t="shared" si="3"/>
        <v>Sunday</v>
      </c>
    </row>
    <row r="172">
      <c r="A172" s="7">
        <v>172.0</v>
      </c>
      <c r="B172" s="20">
        <v>45732.0</v>
      </c>
      <c r="C172" s="7">
        <v>29.0</v>
      </c>
      <c r="D172" s="7" t="s">
        <v>54</v>
      </c>
      <c r="F172" s="7" t="s">
        <v>78</v>
      </c>
      <c r="H172" s="7" t="s">
        <v>33</v>
      </c>
      <c r="I172" s="7" t="s">
        <v>78</v>
      </c>
      <c r="J172" s="21" t="s">
        <v>78</v>
      </c>
      <c r="K172" s="21">
        <v>2.0</v>
      </c>
      <c r="L172" s="4">
        <v>2.0</v>
      </c>
      <c r="M172" s="7" t="s">
        <v>34</v>
      </c>
      <c r="N172" s="22">
        <v>4.0</v>
      </c>
      <c r="O172" s="22">
        <f t="shared" si="6"/>
        <v>2</v>
      </c>
      <c r="P172" s="23">
        <f t="shared" si="5"/>
        <v>233.42</v>
      </c>
      <c r="Q172" s="23">
        <f t="shared" si="1"/>
        <v>-66.59</v>
      </c>
      <c r="R172" s="9">
        <f t="shared" si="2"/>
        <v>-0.2219333333</v>
      </c>
      <c r="S172" s="24" t="s">
        <v>35</v>
      </c>
      <c r="T172" s="24" t="s">
        <v>36</v>
      </c>
      <c r="U172" s="11" t="str">
        <f t="shared" si="3"/>
        <v>Sunday</v>
      </c>
    </row>
    <row r="173">
      <c r="A173" s="7">
        <v>173.0</v>
      </c>
      <c r="B173" s="20">
        <v>45732.0</v>
      </c>
      <c r="C173" s="7">
        <v>29.0</v>
      </c>
      <c r="D173" s="7" t="s">
        <v>53</v>
      </c>
      <c r="F173" s="7" t="s">
        <v>51</v>
      </c>
      <c r="H173" s="7" t="s">
        <v>52</v>
      </c>
      <c r="I173" s="7" t="s">
        <v>53</v>
      </c>
      <c r="J173" s="21" t="s">
        <v>53</v>
      </c>
      <c r="K173" s="21">
        <v>1.3</v>
      </c>
      <c r="L173" s="4">
        <v>4.0</v>
      </c>
      <c r="M173" s="7" t="s">
        <v>95</v>
      </c>
      <c r="N173" s="22">
        <v>4.0</v>
      </c>
      <c r="O173" s="22">
        <f t="shared" si="6"/>
        <v>0</v>
      </c>
      <c r="P173" s="23">
        <f t="shared" si="5"/>
        <v>233.42</v>
      </c>
      <c r="Q173" s="23">
        <f t="shared" si="1"/>
        <v>-66.59</v>
      </c>
      <c r="R173" s="9">
        <f t="shared" si="2"/>
        <v>-0.2219333333</v>
      </c>
      <c r="S173" s="24" t="s">
        <v>35</v>
      </c>
      <c r="T173" s="24" t="s">
        <v>36</v>
      </c>
      <c r="U173" s="11" t="str">
        <f t="shared" si="3"/>
        <v>Sunday</v>
      </c>
    </row>
    <row r="174">
      <c r="A174" s="7">
        <v>174.0</v>
      </c>
      <c r="B174" s="20">
        <v>45732.0</v>
      </c>
      <c r="C174" s="7">
        <v>29.0</v>
      </c>
      <c r="D174" s="7" t="s">
        <v>88</v>
      </c>
      <c r="F174" s="7" t="s">
        <v>38</v>
      </c>
      <c r="H174" s="7" t="s">
        <v>52</v>
      </c>
      <c r="I174" s="7" t="s">
        <v>38</v>
      </c>
      <c r="J174" s="21" t="s">
        <v>38</v>
      </c>
      <c r="K174" s="21">
        <v>1.33</v>
      </c>
      <c r="L174" s="4">
        <v>4.0</v>
      </c>
      <c r="M174" s="7" t="s">
        <v>34</v>
      </c>
      <c r="N174" s="22">
        <v>5.34</v>
      </c>
      <c r="O174" s="22">
        <f t="shared" si="6"/>
        <v>1.34</v>
      </c>
      <c r="P174" s="23">
        <f t="shared" si="5"/>
        <v>234.76</v>
      </c>
      <c r="Q174" s="23">
        <f t="shared" si="1"/>
        <v>-65.25</v>
      </c>
      <c r="R174" s="9">
        <f t="shared" si="2"/>
        <v>-0.2174666667</v>
      </c>
      <c r="S174" s="24" t="s">
        <v>35</v>
      </c>
      <c r="T174" s="24" t="s">
        <v>36</v>
      </c>
      <c r="U174" s="11" t="str">
        <f t="shared" si="3"/>
        <v>Sunday</v>
      </c>
    </row>
    <row r="175">
      <c r="A175" s="7">
        <v>175.0</v>
      </c>
      <c r="B175" s="20">
        <v>45732.0</v>
      </c>
      <c r="C175" s="7">
        <v>29.0</v>
      </c>
      <c r="D175" s="7" t="s">
        <v>58</v>
      </c>
      <c r="F175" s="7" t="s">
        <v>45</v>
      </c>
      <c r="H175" s="7" t="s">
        <v>33</v>
      </c>
      <c r="I175" s="7" t="s">
        <v>58</v>
      </c>
      <c r="J175" s="21" t="s">
        <v>58</v>
      </c>
      <c r="K175" s="21">
        <v>1.7</v>
      </c>
      <c r="L175" s="4">
        <v>2.0</v>
      </c>
      <c r="M175" s="7" t="s">
        <v>44</v>
      </c>
      <c r="N175" s="22">
        <v>0.0</v>
      </c>
      <c r="O175" s="22">
        <f t="shared" si="6"/>
        <v>-2</v>
      </c>
      <c r="P175" s="23">
        <f t="shared" si="5"/>
        <v>232.76</v>
      </c>
      <c r="Q175" s="23">
        <f t="shared" si="1"/>
        <v>-67.25</v>
      </c>
      <c r="R175" s="9">
        <f t="shared" si="2"/>
        <v>-0.2241333333</v>
      </c>
      <c r="S175" s="24" t="s">
        <v>35</v>
      </c>
      <c r="T175" s="24" t="s">
        <v>36</v>
      </c>
      <c r="U175" s="11" t="str">
        <f t="shared" si="3"/>
        <v>Sunday</v>
      </c>
    </row>
    <row r="176">
      <c r="A176" s="7">
        <v>176.0</v>
      </c>
      <c r="B176" s="20">
        <v>45733.0</v>
      </c>
      <c r="C176" s="7">
        <v>29.0</v>
      </c>
      <c r="D176" s="7" t="s">
        <v>37</v>
      </c>
      <c r="F176" s="7" t="s">
        <v>69</v>
      </c>
      <c r="H176" s="7" t="s">
        <v>52</v>
      </c>
      <c r="I176" s="7" t="s">
        <v>37</v>
      </c>
      <c r="J176" s="21" t="s">
        <v>37</v>
      </c>
      <c r="K176" s="21">
        <v>1.33</v>
      </c>
      <c r="L176" s="4">
        <v>4.0</v>
      </c>
      <c r="M176" s="7" t="s">
        <v>34</v>
      </c>
      <c r="N176" s="22">
        <v>5.34</v>
      </c>
      <c r="O176" s="22">
        <f t="shared" si="6"/>
        <v>1.34</v>
      </c>
      <c r="P176" s="23">
        <f t="shared" si="5"/>
        <v>234.1</v>
      </c>
      <c r="Q176" s="23">
        <f t="shared" si="1"/>
        <v>-65.91</v>
      </c>
      <c r="R176" s="9">
        <f t="shared" si="2"/>
        <v>-0.2196666667</v>
      </c>
      <c r="S176" s="24" t="s">
        <v>35</v>
      </c>
      <c r="T176" s="24" t="s">
        <v>36</v>
      </c>
      <c r="U176" s="11" t="str">
        <f t="shared" si="3"/>
        <v>Monday</v>
      </c>
    </row>
    <row r="177">
      <c r="A177" s="7">
        <v>177.0</v>
      </c>
      <c r="B177" s="20">
        <v>45733.0</v>
      </c>
      <c r="C177" s="7">
        <v>29.0</v>
      </c>
      <c r="D177" s="7" t="s">
        <v>32</v>
      </c>
      <c r="F177" s="7" t="s">
        <v>50</v>
      </c>
      <c r="H177" s="7" t="s">
        <v>33</v>
      </c>
      <c r="I177" s="7" t="s">
        <v>50</v>
      </c>
      <c r="J177" s="21" t="s">
        <v>50</v>
      </c>
      <c r="K177" s="21">
        <v>3.6</v>
      </c>
      <c r="L177" s="4">
        <v>1.0</v>
      </c>
      <c r="M177" s="7" t="s">
        <v>44</v>
      </c>
      <c r="N177" s="22">
        <v>0.0</v>
      </c>
      <c r="O177" s="22">
        <f t="shared" si="6"/>
        <v>-1</v>
      </c>
      <c r="P177" s="23">
        <f t="shared" si="5"/>
        <v>233.1</v>
      </c>
      <c r="Q177" s="23">
        <f t="shared" si="1"/>
        <v>-66.91</v>
      </c>
      <c r="R177" s="9">
        <f t="shared" si="2"/>
        <v>-0.223</v>
      </c>
      <c r="S177" s="24" t="s">
        <v>35</v>
      </c>
      <c r="T177" s="24" t="s">
        <v>36</v>
      </c>
      <c r="U177" s="11" t="str">
        <f t="shared" si="3"/>
        <v>Monday</v>
      </c>
    </row>
    <row r="178">
      <c r="A178" s="7">
        <v>178.0</v>
      </c>
      <c r="B178" s="20">
        <v>45733.0</v>
      </c>
      <c r="C178" s="7">
        <v>29.0</v>
      </c>
      <c r="D178" s="7" t="s">
        <v>49</v>
      </c>
      <c r="F178" s="7" t="s">
        <v>31</v>
      </c>
      <c r="H178" s="7" t="s">
        <v>33</v>
      </c>
      <c r="I178" s="7" t="s">
        <v>31</v>
      </c>
      <c r="J178" s="21" t="s">
        <v>31</v>
      </c>
      <c r="K178" s="21">
        <v>1.83</v>
      </c>
      <c r="L178" s="4">
        <v>2.0</v>
      </c>
      <c r="M178" s="7" t="s">
        <v>34</v>
      </c>
      <c r="N178" s="22">
        <v>3.67</v>
      </c>
      <c r="O178" s="22">
        <f t="shared" si="6"/>
        <v>1.67</v>
      </c>
      <c r="P178" s="23">
        <f t="shared" si="5"/>
        <v>234.77</v>
      </c>
      <c r="Q178" s="23">
        <f t="shared" si="1"/>
        <v>-65.24</v>
      </c>
      <c r="R178" s="9">
        <f t="shared" si="2"/>
        <v>-0.2174333333</v>
      </c>
      <c r="S178" s="24" t="s">
        <v>35</v>
      </c>
      <c r="T178" s="24" t="s">
        <v>36</v>
      </c>
      <c r="U178" s="11" t="str">
        <f t="shared" si="3"/>
        <v>Monday</v>
      </c>
    </row>
    <row r="179">
      <c r="A179" s="7">
        <v>179.0</v>
      </c>
      <c r="B179" s="20">
        <v>45737.0</v>
      </c>
      <c r="D179" s="7" t="s">
        <v>75</v>
      </c>
      <c r="F179" s="7" t="s">
        <v>139</v>
      </c>
      <c r="H179" s="7" t="s">
        <v>140</v>
      </c>
      <c r="I179" s="7" t="s">
        <v>141</v>
      </c>
      <c r="J179" s="21" t="s">
        <v>75</v>
      </c>
      <c r="K179" s="21">
        <v>1.44</v>
      </c>
      <c r="L179" s="4">
        <v>3.0</v>
      </c>
      <c r="M179" s="7" t="s">
        <v>34</v>
      </c>
      <c r="N179" s="22">
        <v>4.34</v>
      </c>
      <c r="O179" s="22">
        <f t="shared" si="6"/>
        <v>1.34</v>
      </c>
      <c r="P179" s="23">
        <f t="shared" si="5"/>
        <v>236.11</v>
      </c>
      <c r="Q179" s="23">
        <f t="shared" si="1"/>
        <v>-63.9</v>
      </c>
      <c r="R179" s="9">
        <f t="shared" si="2"/>
        <v>-0.2129666667</v>
      </c>
      <c r="S179" s="24" t="s">
        <v>77</v>
      </c>
      <c r="T179" s="24" t="s">
        <v>36</v>
      </c>
      <c r="U179" s="11" t="str">
        <f t="shared" si="3"/>
        <v>Friday</v>
      </c>
    </row>
    <row r="180">
      <c r="A180" s="7">
        <v>180.0</v>
      </c>
      <c r="B180" s="20">
        <v>45737.0</v>
      </c>
      <c r="D180" s="7" t="s">
        <v>75</v>
      </c>
      <c r="F180" s="7" t="s">
        <v>139</v>
      </c>
      <c r="H180" s="7" t="s">
        <v>142</v>
      </c>
      <c r="I180" s="7" t="s">
        <v>143</v>
      </c>
      <c r="J180" s="21" t="s">
        <v>75</v>
      </c>
      <c r="K180" s="21">
        <v>1.57</v>
      </c>
      <c r="L180" s="4">
        <v>3.0</v>
      </c>
      <c r="M180" s="7" t="s">
        <v>34</v>
      </c>
      <c r="N180" s="22">
        <v>4.72</v>
      </c>
      <c r="O180" s="22">
        <f t="shared" si="6"/>
        <v>1.72</v>
      </c>
      <c r="P180" s="23">
        <f t="shared" si="5"/>
        <v>237.83</v>
      </c>
      <c r="Q180" s="23">
        <f t="shared" si="1"/>
        <v>-62.18</v>
      </c>
      <c r="R180" s="9">
        <f t="shared" si="2"/>
        <v>-0.2072333333</v>
      </c>
      <c r="S180" s="24" t="s">
        <v>77</v>
      </c>
      <c r="T180" s="24" t="s">
        <v>36</v>
      </c>
      <c r="U180" s="11" t="str">
        <f t="shared" si="3"/>
        <v>Friday</v>
      </c>
    </row>
    <row r="181">
      <c r="A181" s="7">
        <v>181.0</v>
      </c>
      <c r="B181" s="20">
        <v>45737.0</v>
      </c>
      <c r="D181" s="7" t="s">
        <v>75</v>
      </c>
      <c r="F181" s="7" t="s">
        <v>139</v>
      </c>
      <c r="H181" s="7" t="s">
        <v>144</v>
      </c>
      <c r="I181" s="7" t="s">
        <v>145</v>
      </c>
      <c r="J181" s="21" t="s">
        <v>75</v>
      </c>
      <c r="K181" s="21">
        <v>1.75</v>
      </c>
      <c r="L181" s="4">
        <v>3.0</v>
      </c>
      <c r="M181" s="7" t="s">
        <v>34</v>
      </c>
      <c r="N181" s="22">
        <v>5.25</v>
      </c>
      <c r="O181" s="22">
        <f t="shared" si="6"/>
        <v>2.25</v>
      </c>
      <c r="P181" s="23">
        <f t="shared" si="5"/>
        <v>240.08</v>
      </c>
      <c r="Q181" s="23">
        <f t="shared" si="1"/>
        <v>-59.93</v>
      </c>
      <c r="R181" s="9">
        <f t="shared" si="2"/>
        <v>-0.1997333333</v>
      </c>
      <c r="S181" s="24" t="s">
        <v>77</v>
      </c>
      <c r="T181" s="24" t="s">
        <v>36</v>
      </c>
      <c r="U181" s="11" t="str">
        <f t="shared" si="3"/>
        <v>Friday</v>
      </c>
    </row>
    <row r="182">
      <c r="A182" s="7">
        <v>182.0</v>
      </c>
      <c r="B182" s="20">
        <v>45737.0</v>
      </c>
      <c r="D182" s="7" t="s">
        <v>75</v>
      </c>
      <c r="F182" s="7" t="s">
        <v>139</v>
      </c>
      <c r="H182" s="7" t="s">
        <v>112</v>
      </c>
      <c r="I182" s="7" t="s">
        <v>146</v>
      </c>
      <c r="J182" s="21" t="s">
        <v>75</v>
      </c>
      <c r="K182" s="21">
        <v>2.3</v>
      </c>
      <c r="L182" s="4">
        <v>3.0</v>
      </c>
      <c r="M182" s="7" t="s">
        <v>34</v>
      </c>
      <c r="N182" s="22">
        <v>6.9</v>
      </c>
      <c r="O182" s="22">
        <f t="shared" si="6"/>
        <v>3.9</v>
      </c>
      <c r="P182" s="23">
        <f t="shared" si="5"/>
        <v>243.98</v>
      </c>
      <c r="Q182" s="23">
        <f t="shared" si="1"/>
        <v>-56.03</v>
      </c>
      <c r="R182" s="9">
        <f t="shared" si="2"/>
        <v>-0.1867333333</v>
      </c>
      <c r="S182" s="24" t="s">
        <v>77</v>
      </c>
      <c r="T182" s="24" t="s">
        <v>36</v>
      </c>
      <c r="U182" s="11" t="str">
        <f t="shared" si="3"/>
        <v>Friday</v>
      </c>
    </row>
    <row r="183">
      <c r="A183" s="7">
        <v>183.0</v>
      </c>
      <c r="B183" s="20">
        <v>45746.0</v>
      </c>
      <c r="D183" s="7" t="s">
        <v>147</v>
      </c>
      <c r="F183" s="7" t="s">
        <v>42</v>
      </c>
      <c r="H183" s="7" t="s">
        <v>33</v>
      </c>
      <c r="I183" s="7" t="s">
        <v>42</v>
      </c>
      <c r="J183" s="21" t="s">
        <v>42</v>
      </c>
      <c r="K183" s="21">
        <v>1.48</v>
      </c>
      <c r="L183" s="4">
        <v>5.0</v>
      </c>
      <c r="M183" s="7" t="s">
        <v>34</v>
      </c>
      <c r="N183" s="22">
        <v>7.4</v>
      </c>
      <c r="O183" s="22">
        <f t="shared" si="6"/>
        <v>2.4</v>
      </c>
      <c r="P183" s="23">
        <f t="shared" si="5"/>
        <v>246.38</v>
      </c>
      <c r="Q183" s="23">
        <f t="shared" si="1"/>
        <v>-53.63</v>
      </c>
      <c r="R183" s="9">
        <f t="shared" si="2"/>
        <v>-0.1787333333</v>
      </c>
      <c r="S183" s="24" t="s">
        <v>125</v>
      </c>
      <c r="T183" s="24" t="s">
        <v>36</v>
      </c>
      <c r="U183" s="11" t="str">
        <f t="shared" si="3"/>
        <v>Sunday</v>
      </c>
    </row>
    <row r="184">
      <c r="A184" s="7">
        <v>184.0</v>
      </c>
      <c r="B184" s="20">
        <v>45746.0</v>
      </c>
      <c r="D184" s="7" t="s">
        <v>58</v>
      </c>
      <c r="F184" s="7" t="s">
        <v>53</v>
      </c>
      <c r="H184" s="7" t="s">
        <v>148</v>
      </c>
      <c r="I184" s="7" t="s">
        <v>53</v>
      </c>
      <c r="J184" s="21" t="s">
        <v>53</v>
      </c>
      <c r="K184" s="21">
        <v>1.66</v>
      </c>
      <c r="L184" s="4">
        <v>5.0</v>
      </c>
      <c r="M184" s="7" t="s">
        <v>34</v>
      </c>
      <c r="N184" s="22">
        <v>8.34</v>
      </c>
      <c r="O184" s="22">
        <f t="shared" si="6"/>
        <v>3.34</v>
      </c>
      <c r="P184" s="23">
        <f t="shared" si="5"/>
        <v>249.72</v>
      </c>
      <c r="Q184" s="23">
        <f t="shared" si="1"/>
        <v>-50.29</v>
      </c>
      <c r="R184" s="9">
        <f t="shared" si="2"/>
        <v>-0.1676</v>
      </c>
      <c r="S184" s="24" t="s">
        <v>125</v>
      </c>
      <c r="T184" s="24" t="s">
        <v>36</v>
      </c>
      <c r="U184" s="11" t="str">
        <f t="shared" si="3"/>
        <v>Sunday</v>
      </c>
    </row>
    <row r="185">
      <c r="A185" s="7">
        <v>185.0</v>
      </c>
      <c r="B185" s="20">
        <v>45749.0</v>
      </c>
      <c r="C185" s="7">
        <v>30.0</v>
      </c>
      <c r="D185" s="7" t="s">
        <v>70</v>
      </c>
      <c r="F185" s="7" t="s">
        <v>70</v>
      </c>
      <c r="H185" s="7" t="s">
        <v>112</v>
      </c>
      <c r="I185" s="7" t="s">
        <v>149</v>
      </c>
      <c r="J185" s="21" t="s">
        <v>70</v>
      </c>
      <c r="K185" s="21">
        <v>2.6</v>
      </c>
      <c r="L185" s="4">
        <v>3.0</v>
      </c>
      <c r="M185" s="7" t="s">
        <v>44</v>
      </c>
      <c r="N185" s="22">
        <v>0.0</v>
      </c>
      <c r="O185" s="22">
        <f t="shared" si="6"/>
        <v>-3</v>
      </c>
      <c r="P185" s="23">
        <f t="shared" si="5"/>
        <v>246.72</v>
      </c>
      <c r="Q185" s="23">
        <f t="shared" si="1"/>
        <v>-53.29</v>
      </c>
      <c r="R185" s="9">
        <f t="shared" si="2"/>
        <v>-0.1776</v>
      </c>
      <c r="S185" s="24" t="s">
        <v>35</v>
      </c>
      <c r="T185" s="24" t="s">
        <v>36</v>
      </c>
      <c r="U185" s="11" t="str">
        <f t="shared" si="3"/>
        <v>Wednesday</v>
      </c>
    </row>
    <row r="186">
      <c r="A186" s="7">
        <v>186.0</v>
      </c>
      <c r="B186" s="20">
        <v>45749.0</v>
      </c>
      <c r="C186" s="7">
        <v>30.0</v>
      </c>
      <c r="D186" s="7" t="s">
        <v>88</v>
      </c>
      <c r="F186" s="7" t="s">
        <v>46</v>
      </c>
      <c r="H186" s="7" t="s">
        <v>33</v>
      </c>
      <c r="I186" s="7" t="s">
        <v>46</v>
      </c>
      <c r="J186" s="21" t="s">
        <v>46</v>
      </c>
      <c r="K186" s="21">
        <v>1.57</v>
      </c>
      <c r="L186" s="4">
        <v>3.0</v>
      </c>
      <c r="M186" s="7" t="s">
        <v>44</v>
      </c>
      <c r="N186" s="22">
        <v>0.0</v>
      </c>
      <c r="O186" s="22">
        <f t="shared" si="6"/>
        <v>-3</v>
      </c>
      <c r="P186" s="23">
        <f t="shared" si="5"/>
        <v>243.72</v>
      </c>
      <c r="Q186" s="23">
        <f t="shared" si="1"/>
        <v>-56.29</v>
      </c>
      <c r="R186" s="9">
        <f t="shared" si="2"/>
        <v>-0.1876</v>
      </c>
      <c r="S186" s="24" t="s">
        <v>35</v>
      </c>
      <c r="T186" s="24" t="s">
        <v>36</v>
      </c>
      <c r="U186" s="11" t="str">
        <f t="shared" si="3"/>
        <v>Wednesday</v>
      </c>
    </row>
    <row r="187">
      <c r="A187" s="7">
        <v>187.0</v>
      </c>
      <c r="B187" s="20">
        <v>45749.0</v>
      </c>
      <c r="C187" s="7">
        <v>30.0</v>
      </c>
      <c r="D187" s="7" t="s">
        <v>53</v>
      </c>
      <c r="F187" s="7" t="s">
        <v>49</v>
      </c>
      <c r="H187" s="7" t="s">
        <v>33</v>
      </c>
      <c r="I187" s="7" t="s">
        <v>53</v>
      </c>
      <c r="J187" s="21" t="s">
        <v>53</v>
      </c>
      <c r="K187" s="21">
        <v>1.2</v>
      </c>
      <c r="L187" s="4">
        <v>3.0</v>
      </c>
      <c r="M187" s="7" t="s">
        <v>34</v>
      </c>
      <c r="N187" s="22">
        <v>3.6</v>
      </c>
      <c r="O187" s="22">
        <f t="shared" si="6"/>
        <v>0.6</v>
      </c>
      <c r="P187" s="23">
        <f t="shared" si="5"/>
        <v>244.32</v>
      </c>
      <c r="Q187" s="23">
        <f t="shared" si="1"/>
        <v>-55.69</v>
      </c>
      <c r="R187" s="9">
        <f t="shared" si="2"/>
        <v>-0.1856</v>
      </c>
      <c r="S187" s="24" t="s">
        <v>35</v>
      </c>
      <c r="T187" s="24" t="s">
        <v>36</v>
      </c>
      <c r="U187" s="11" t="str">
        <f t="shared" si="3"/>
        <v>Wednesday</v>
      </c>
    </row>
    <row r="188">
      <c r="A188" s="7">
        <v>188.0</v>
      </c>
      <c r="B188" s="20">
        <v>45749.0</v>
      </c>
      <c r="C188" s="7">
        <v>30.0</v>
      </c>
      <c r="D188" s="7" t="s">
        <v>58</v>
      </c>
      <c r="F188" s="7" t="s">
        <v>54</v>
      </c>
      <c r="H188" s="7" t="s">
        <v>33</v>
      </c>
      <c r="I188" s="7" t="s">
        <v>58</v>
      </c>
      <c r="J188" s="21" t="s">
        <v>58</v>
      </c>
      <c r="K188" s="21">
        <v>1.38</v>
      </c>
      <c r="L188" s="4">
        <v>3.0</v>
      </c>
      <c r="M188" s="7" t="s">
        <v>44</v>
      </c>
      <c r="N188" s="22">
        <v>0.0</v>
      </c>
      <c r="O188" s="22">
        <f t="shared" si="6"/>
        <v>-3</v>
      </c>
      <c r="P188" s="23">
        <f t="shared" si="5"/>
        <v>241.32</v>
      </c>
      <c r="Q188" s="23">
        <f t="shared" si="1"/>
        <v>-58.69</v>
      </c>
      <c r="R188" s="9">
        <f t="shared" si="2"/>
        <v>-0.1956</v>
      </c>
      <c r="S188" s="24" t="s">
        <v>35</v>
      </c>
      <c r="T188" s="24" t="s">
        <v>36</v>
      </c>
      <c r="U188" s="11" t="str">
        <f t="shared" si="3"/>
        <v>Wednesday</v>
      </c>
    </row>
    <row r="189">
      <c r="A189" s="7">
        <v>189.0</v>
      </c>
      <c r="B189" s="20">
        <v>45753.0</v>
      </c>
      <c r="C189" s="7">
        <v>31.0</v>
      </c>
      <c r="D189" s="7" t="s">
        <v>42</v>
      </c>
      <c r="F189" s="7" t="s">
        <v>78</v>
      </c>
      <c r="H189" s="7" t="s">
        <v>33</v>
      </c>
      <c r="I189" s="7" t="s">
        <v>78</v>
      </c>
      <c r="J189" s="21" t="s">
        <v>78</v>
      </c>
      <c r="K189" s="21">
        <v>4.0</v>
      </c>
      <c r="L189" s="4">
        <v>3.0</v>
      </c>
      <c r="M189" s="7" t="s">
        <v>44</v>
      </c>
      <c r="N189" s="22">
        <v>0.0</v>
      </c>
      <c r="O189" s="22">
        <f t="shared" si="6"/>
        <v>-3</v>
      </c>
      <c r="P189" s="23">
        <f t="shared" si="5"/>
        <v>238.32</v>
      </c>
      <c r="Q189" s="23">
        <f t="shared" si="1"/>
        <v>-61.69</v>
      </c>
      <c r="R189" s="9">
        <f t="shared" si="2"/>
        <v>-0.2056</v>
      </c>
      <c r="S189" s="24" t="s">
        <v>35</v>
      </c>
      <c r="T189" s="24" t="s">
        <v>36</v>
      </c>
      <c r="U189" s="11" t="str">
        <f t="shared" si="3"/>
        <v>Sunday</v>
      </c>
    </row>
    <row r="190">
      <c r="A190" s="7">
        <v>190.0</v>
      </c>
      <c r="B190" s="20">
        <v>45753.0</v>
      </c>
      <c r="C190" s="7">
        <v>31.0</v>
      </c>
      <c r="D190" s="7" t="s">
        <v>49</v>
      </c>
      <c r="F190" s="7" t="s">
        <v>59</v>
      </c>
      <c r="H190" s="7" t="s">
        <v>33</v>
      </c>
      <c r="I190" s="7" t="s">
        <v>59</v>
      </c>
      <c r="J190" s="21" t="s">
        <v>59</v>
      </c>
      <c r="K190" s="21">
        <v>1.5</v>
      </c>
      <c r="L190" s="4">
        <v>3.0</v>
      </c>
      <c r="M190" s="7" t="s">
        <v>34</v>
      </c>
      <c r="N190" s="22">
        <v>4.5</v>
      </c>
      <c r="O190" s="22">
        <f t="shared" si="6"/>
        <v>1.5</v>
      </c>
      <c r="P190" s="23">
        <f t="shared" si="5"/>
        <v>239.82</v>
      </c>
      <c r="Q190" s="23">
        <f t="shared" si="1"/>
        <v>-60.19</v>
      </c>
      <c r="R190" s="9">
        <f t="shared" si="2"/>
        <v>-0.2006</v>
      </c>
      <c r="S190" s="24" t="s">
        <v>35</v>
      </c>
      <c r="T190" s="24" t="s">
        <v>36</v>
      </c>
      <c r="U190" s="11" t="str">
        <f t="shared" si="3"/>
        <v>Sunday</v>
      </c>
    </row>
    <row r="191">
      <c r="A191" s="7">
        <v>191.0</v>
      </c>
      <c r="B191" s="20">
        <v>45753.0</v>
      </c>
      <c r="C191" s="7">
        <v>31.0</v>
      </c>
      <c r="D191" s="7" t="s">
        <v>31</v>
      </c>
      <c r="F191" s="7" t="s">
        <v>53</v>
      </c>
      <c r="H191" s="7" t="s">
        <v>52</v>
      </c>
      <c r="I191" s="7" t="s">
        <v>53</v>
      </c>
      <c r="J191" s="21" t="s">
        <v>53</v>
      </c>
      <c r="K191" s="21">
        <v>1.5</v>
      </c>
      <c r="L191" s="4">
        <v>3.0</v>
      </c>
      <c r="M191" s="7" t="s">
        <v>95</v>
      </c>
      <c r="N191" s="22">
        <v>3.0</v>
      </c>
      <c r="O191" s="22">
        <f t="shared" si="6"/>
        <v>0</v>
      </c>
      <c r="P191" s="23">
        <f t="shared" si="5"/>
        <v>239.82</v>
      </c>
      <c r="Q191" s="23">
        <f t="shared" si="1"/>
        <v>-60.19</v>
      </c>
      <c r="R191" s="9">
        <f t="shared" si="2"/>
        <v>-0.2006</v>
      </c>
      <c r="S191" s="24" t="s">
        <v>35</v>
      </c>
      <c r="T191" s="24" t="s">
        <v>36</v>
      </c>
      <c r="U191" s="11" t="str">
        <f t="shared" si="3"/>
        <v>Sunday</v>
      </c>
    </row>
    <row r="192">
      <c r="A192" s="7">
        <v>192.0</v>
      </c>
      <c r="B192" s="20">
        <v>45753.0</v>
      </c>
      <c r="C192" s="7">
        <v>31.0</v>
      </c>
      <c r="D192" s="7" t="s">
        <v>50</v>
      </c>
      <c r="F192" s="7" t="s">
        <v>88</v>
      </c>
      <c r="H192" s="7" t="s">
        <v>33</v>
      </c>
      <c r="I192" s="7" t="s">
        <v>50</v>
      </c>
      <c r="J192" s="21" t="s">
        <v>50</v>
      </c>
      <c r="K192" s="21">
        <v>1.4</v>
      </c>
      <c r="L192" s="4">
        <v>3.0</v>
      </c>
      <c r="M192" s="7" t="s">
        <v>34</v>
      </c>
      <c r="N192" s="22">
        <v>4.2</v>
      </c>
      <c r="O192" s="22">
        <f t="shared" si="6"/>
        <v>1.2</v>
      </c>
      <c r="P192" s="23">
        <f t="shared" si="5"/>
        <v>241.02</v>
      </c>
      <c r="Q192" s="23">
        <f t="shared" si="1"/>
        <v>-58.99</v>
      </c>
      <c r="R192" s="9">
        <f t="shared" si="2"/>
        <v>-0.1966</v>
      </c>
      <c r="S192" s="24" t="s">
        <v>35</v>
      </c>
      <c r="T192" s="24" t="s">
        <v>36</v>
      </c>
      <c r="U192" s="11" t="str">
        <f t="shared" si="3"/>
        <v>Sunday</v>
      </c>
    </row>
    <row r="193">
      <c r="A193" s="7">
        <v>193.0</v>
      </c>
      <c r="B193" s="20">
        <v>45753.0</v>
      </c>
      <c r="C193" s="7">
        <v>31.0</v>
      </c>
      <c r="D193" s="7" t="s">
        <v>32</v>
      </c>
      <c r="F193" s="7" t="s">
        <v>61</v>
      </c>
      <c r="H193" s="7" t="s">
        <v>52</v>
      </c>
      <c r="I193" s="7" t="s">
        <v>61</v>
      </c>
      <c r="J193" s="21" t="s">
        <v>61</v>
      </c>
      <c r="K193" s="21">
        <v>1.33</v>
      </c>
      <c r="L193" s="4">
        <v>3.0</v>
      </c>
      <c r="M193" s="7" t="s">
        <v>44</v>
      </c>
      <c r="N193" s="22">
        <v>0.0</v>
      </c>
      <c r="O193" s="22">
        <f t="shared" si="6"/>
        <v>-3</v>
      </c>
      <c r="P193" s="23">
        <f t="shared" si="5"/>
        <v>238.02</v>
      </c>
      <c r="Q193" s="23">
        <f t="shared" si="1"/>
        <v>-61.99</v>
      </c>
      <c r="R193" s="9">
        <f t="shared" si="2"/>
        <v>-0.2066</v>
      </c>
      <c r="S193" s="24" t="s">
        <v>35</v>
      </c>
      <c r="T193" s="24" t="s">
        <v>36</v>
      </c>
      <c r="U193" s="11" t="str">
        <f t="shared" si="3"/>
        <v>Sunday</v>
      </c>
    </row>
    <row r="194">
      <c r="A194" s="7">
        <v>194.0</v>
      </c>
      <c r="B194" s="20">
        <v>45759.0</v>
      </c>
      <c r="C194" s="7">
        <v>32.0</v>
      </c>
      <c r="D194" s="7" t="s">
        <v>70</v>
      </c>
      <c r="F194" s="7" t="s">
        <v>70</v>
      </c>
      <c r="H194" s="7" t="s">
        <v>112</v>
      </c>
      <c r="I194" s="7" t="s">
        <v>150</v>
      </c>
      <c r="J194" s="21" t="s">
        <v>70</v>
      </c>
      <c r="K194" s="21">
        <v>3.27</v>
      </c>
      <c r="L194" s="4">
        <v>3.0</v>
      </c>
      <c r="M194" s="7" t="s">
        <v>44</v>
      </c>
      <c r="N194" s="22">
        <v>0.0</v>
      </c>
      <c r="O194" s="22">
        <f t="shared" si="6"/>
        <v>-3</v>
      </c>
      <c r="P194" s="23">
        <f t="shared" si="5"/>
        <v>235.02</v>
      </c>
      <c r="Q194" s="23">
        <f t="shared" si="1"/>
        <v>-64.99</v>
      </c>
      <c r="R194" s="9">
        <f t="shared" si="2"/>
        <v>-0.2166</v>
      </c>
      <c r="S194" s="24" t="s">
        <v>35</v>
      </c>
      <c r="T194" s="24" t="s">
        <v>36</v>
      </c>
      <c r="U194" s="11" t="str">
        <f t="shared" si="3"/>
        <v>Saturday</v>
      </c>
    </row>
    <row r="195">
      <c r="A195" s="7">
        <v>195.0</v>
      </c>
      <c r="B195" s="20">
        <v>45759.0</v>
      </c>
      <c r="C195" s="7">
        <v>32.0</v>
      </c>
      <c r="D195" s="7" t="s">
        <v>61</v>
      </c>
      <c r="F195" s="7" t="s">
        <v>41</v>
      </c>
      <c r="H195" s="7" t="s">
        <v>33</v>
      </c>
      <c r="I195" s="7" t="s">
        <v>61</v>
      </c>
      <c r="J195" s="21" t="s">
        <v>61</v>
      </c>
      <c r="K195" s="21">
        <v>1.3</v>
      </c>
      <c r="L195" s="4">
        <v>3.0</v>
      </c>
      <c r="M195" s="7" t="s">
        <v>34</v>
      </c>
      <c r="N195" s="22">
        <v>3.9</v>
      </c>
      <c r="O195" s="22">
        <f t="shared" si="6"/>
        <v>0.9</v>
      </c>
      <c r="P195" s="23">
        <f t="shared" si="5"/>
        <v>235.92</v>
      </c>
      <c r="Q195" s="23">
        <f t="shared" si="1"/>
        <v>-64.09</v>
      </c>
      <c r="R195" s="9">
        <f t="shared" si="2"/>
        <v>-0.2136</v>
      </c>
      <c r="S195" s="24" t="s">
        <v>35</v>
      </c>
      <c r="T195" s="24" t="s">
        <v>36</v>
      </c>
      <c r="U195" s="11" t="str">
        <f t="shared" si="3"/>
        <v>Saturday</v>
      </c>
    </row>
    <row r="196">
      <c r="A196" s="7">
        <v>196.0</v>
      </c>
      <c r="B196" s="20">
        <v>45759.0</v>
      </c>
      <c r="C196" s="7">
        <v>32.0</v>
      </c>
      <c r="D196" s="7" t="s">
        <v>37</v>
      </c>
      <c r="F196" s="7" t="s">
        <v>45</v>
      </c>
      <c r="H196" s="7" t="s">
        <v>33</v>
      </c>
      <c r="I196" s="7" t="s">
        <v>37</v>
      </c>
      <c r="J196" s="21" t="s">
        <v>37</v>
      </c>
      <c r="K196" s="21">
        <v>1.61</v>
      </c>
      <c r="L196" s="4">
        <v>3.0</v>
      </c>
      <c r="M196" s="7" t="s">
        <v>44</v>
      </c>
      <c r="N196" s="22">
        <v>0.0</v>
      </c>
      <c r="O196" s="22">
        <f t="shared" si="6"/>
        <v>-3</v>
      </c>
      <c r="P196" s="23">
        <f t="shared" si="5"/>
        <v>232.92</v>
      </c>
      <c r="Q196" s="23">
        <f t="shared" si="1"/>
        <v>-67.09</v>
      </c>
      <c r="R196" s="9">
        <f t="shared" si="2"/>
        <v>-0.2236</v>
      </c>
      <c r="S196" s="24" t="s">
        <v>35</v>
      </c>
      <c r="T196" s="24" t="s">
        <v>36</v>
      </c>
      <c r="U196" s="11" t="str">
        <f t="shared" si="3"/>
        <v>Saturday</v>
      </c>
    </row>
    <row r="197">
      <c r="A197" s="7">
        <v>197.0</v>
      </c>
      <c r="B197" s="20">
        <v>45759.0</v>
      </c>
      <c r="C197" s="7">
        <v>32.0</v>
      </c>
      <c r="D197" s="7" t="s">
        <v>88</v>
      </c>
      <c r="F197" s="7" t="s">
        <v>42</v>
      </c>
      <c r="H197" s="7" t="s">
        <v>33</v>
      </c>
      <c r="I197" s="7" t="s">
        <v>42</v>
      </c>
      <c r="J197" s="21" t="s">
        <v>42</v>
      </c>
      <c r="K197" s="21">
        <v>1.53</v>
      </c>
      <c r="L197" s="4">
        <v>3.0</v>
      </c>
      <c r="M197" s="7" t="s">
        <v>34</v>
      </c>
      <c r="N197" s="22">
        <v>4.6</v>
      </c>
      <c r="O197" s="22">
        <f t="shared" si="6"/>
        <v>1.6</v>
      </c>
      <c r="P197" s="23">
        <f t="shared" si="5"/>
        <v>234.52</v>
      </c>
      <c r="Q197" s="23">
        <f t="shared" si="1"/>
        <v>-65.49</v>
      </c>
      <c r="R197" s="9">
        <f t="shared" si="2"/>
        <v>-0.2182666667</v>
      </c>
      <c r="S197" s="24" t="s">
        <v>35</v>
      </c>
      <c r="T197" s="24" t="s">
        <v>36</v>
      </c>
      <c r="U197" s="11" t="str">
        <f t="shared" si="3"/>
        <v>Saturday</v>
      </c>
    </row>
    <row r="198">
      <c r="A198" s="7">
        <v>198.0</v>
      </c>
      <c r="B198" s="20">
        <v>45759.0</v>
      </c>
      <c r="C198" s="7">
        <v>32.0</v>
      </c>
      <c r="D198" s="7" t="s">
        <v>78</v>
      </c>
      <c r="F198" s="7" t="s">
        <v>57</v>
      </c>
      <c r="H198" s="7" t="s">
        <v>33</v>
      </c>
      <c r="I198" s="7" t="s">
        <v>78</v>
      </c>
      <c r="J198" s="21" t="s">
        <v>78</v>
      </c>
      <c r="K198" s="21">
        <v>1.95</v>
      </c>
      <c r="L198" s="4">
        <v>3.0</v>
      </c>
      <c r="M198" s="7" t="s">
        <v>44</v>
      </c>
      <c r="N198" s="22">
        <v>0.0</v>
      </c>
      <c r="O198" s="22">
        <f t="shared" si="6"/>
        <v>-3</v>
      </c>
      <c r="P198" s="23">
        <f t="shared" si="5"/>
        <v>231.52</v>
      </c>
      <c r="Q198" s="23">
        <f t="shared" si="1"/>
        <v>-68.49</v>
      </c>
      <c r="R198" s="9">
        <f t="shared" si="2"/>
        <v>-0.2282666667</v>
      </c>
      <c r="S198" s="24" t="s">
        <v>35</v>
      </c>
      <c r="T198" s="24" t="s">
        <v>36</v>
      </c>
      <c r="U198" s="11" t="str">
        <f t="shared" si="3"/>
        <v>Saturday</v>
      </c>
    </row>
    <row r="199">
      <c r="A199" s="7">
        <v>199.0</v>
      </c>
      <c r="B199" s="20">
        <v>45760.0</v>
      </c>
      <c r="C199" s="7">
        <v>33.0</v>
      </c>
      <c r="D199" s="7" t="s">
        <v>57</v>
      </c>
      <c r="F199" s="7" t="s">
        <v>53</v>
      </c>
      <c r="H199" s="7" t="s">
        <v>33</v>
      </c>
      <c r="I199" s="7" t="s">
        <v>151</v>
      </c>
      <c r="J199" s="21" t="s">
        <v>53</v>
      </c>
      <c r="K199" s="21">
        <v>1.9</v>
      </c>
      <c r="L199" s="4">
        <v>2.5</v>
      </c>
      <c r="M199" s="7" t="s">
        <v>34</v>
      </c>
      <c r="N199" s="22">
        <v>4.75</v>
      </c>
      <c r="O199" s="22">
        <f t="shared" si="6"/>
        <v>2.25</v>
      </c>
      <c r="P199" s="23">
        <f t="shared" si="5"/>
        <v>233.77</v>
      </c>
      <c r="Q199" s="23">
        <f t="shared" si="1"/>
        <v>-66.24</v>
      </c>
      <c r="R199" s="9">
        <f t="shared" si="2"/>
        <v>-0.2207666667</v>
      </c>
      <c r="S199" s="24" t="s">
        <v>35</v>
      </c>
      <c r="T199" s="24" t="s">
        <v>36</v>
      </c>
      <c r="U199" s="11" t="str">
        <f t="shared" si="3"/>
        <v>Sunday</v>
      </c>
    </row>
    <row r="200">
      <c r="A200" s="7">
        <v>200.0</v>
      </c>
      <c r="B200" s="20">
        <v>45767.0</v>
      </c>
      <c r="C200" s="7">
        <v>33.0</v>
      </c>
      <c r="D200" s="7" t="s">
        <v>54</v>
      </c>
      <c r="F200" s="7" t="s">
        <v>37</v>
      </c>
      <c r="H200" s="7" t="s">
        <v>33</v>
      </c>
      <c r="I200" s="7" t="s">
        <v>37</v>
      </c>
      <c r="J200" s="21" t="s">
        <v>37</v>
      </c>
      <c r="K200" s="21">
        <v>1.42</v>
      </c>
      <c r="L200" s="4">
        <v>2.5</v>
      </c>
      <c r="M200" s="7" t="s">
        <v>34</v>
      </c>
      <c r="N200" s="22">
        <v>3.55</v>
      </c>
      <c r="O200" s="22">
        <f t="shared" si="6"/>
        <v>1.05</v>
      </c>
      <c r="P200" s="23">
        <f t="shared" si="5"/>
        <v>234.82</v>
      </c>
      <c r="Q200" s="23">
        <f t="shared" si="1"/>
        <v>-65.19</v>
      </c>
      <c r="R200" s="9">
        <f t="shared" si="2"/>
        <v>-0.2172666667</v>
      </c>
      <c r="S200" s="24" t="s">
        <v>35</v>
      </c>
      <c r="T200" s="24" t="s">
        <v>36</v>
      </c>
      <c r="U200" s="11" t="str">
        <f t="shared" si="3"/>
        <v>Sunday</v>
      </c>
    </row>
    <row r="201">
      <c r="A201" s="7">
        <v>201.0</v>
      </c>
      <c r="B201" s="20">
        <v>45767.0</v>
      </c>
      <c r="C201" s="7">
        <v>33.0</v>
      </c>
      <c r="D201" s="7" t="s">
        <v>49</v>
      </c>
      <c r="F201" s="7" t="s">
        <v>61</v>
      </c>
      <c r="H201" s="7" t="s">
        <v>33</v>
      </c>
      <c r="I201" s="7" t="s">
        <v>61</v>
      </c>
      <c r="J201" s="21" t="s">
        <v>61</v>
      </c>
      <c r="K201" s="21">
        <v>1.2</v>
      </c>
      <c r="L201" s="4">
        <v>2.5</v>
      </c>
      <c r="M201" s="7" t="s">
        <v>34</v>
      </c>
      <c r="N201" s="22">
        <v>3.0</v>
      </c>
      <c r="O201" s="22">
        <f t="shared" si="6"/>
        <v>0.5</v>
      </c>
      <c r="P201" s="23">
        <f t="shared" si="5"/>
        <v>235.32</v>
      </c>
      <c r="Q201" s="23">
        <f t="shared" si="1"/>
        <v>-64.69</v>
      </c>
      <c r="R201" s="9">
        <f t="shared" si="2"/>
        <v>-0.2156</v>
      </c>
      <c r="S201" s="24" t="s">
        <v>35</v>
      </c>
      <c r="T201" s="24" t="s">
        <v>36</v>
      </c>
      <c r="U201" s="11" t="str">
        <f t="shared" si="3"/>
        <v>Sunday</v>
      </c>
    </row>
    <row r="202">
      <c r="A202" s="7">
        <v>202.0</v>
      </c>
      <c r="B202" s="20">
        <v>45767.0</v>
      </c>
      <c r="C202" s="7">
        <v>33.0</v>
      </c>
      <c r="D202" s="7" t="s">
        <v>46</v>
      </c>
      <c r="F202" s="7" t="s">
        <v>58</v>
      </c>
      <c r="H202" s="7" t="s">
        <v>82</v>
      </c>
      <c r="I202" s="7" t="s">
        <v>83</v>
      </c>
      <c r="J202" s="21" t="s">
        <v>70</v>
      </c>
      <c r="K202" s="21">
        <v>1.61</v>
      </c>
      <c r="L202" s="4">
        <v>2.5</v>
      </c>
      <c r="M202" s="7" t="s">
        <v>44</v>
      </c>
      <c r="N202" s="22">
        <v>0.0</v>
      </c>
      <c r="O202" s="22">
        <f t="shared" si="6"/>
        <v>-2.5</v>
      </c>
      <c r="P202" s="23">
        <f t="shared" si="5"/>
        <v>232.82</v>
      </c>
      <c r="Q202" s="23">
        <f t="shared" si="1"/>
        <v>-67.19</v>
      </c>
      <c r="R202" s="9">
        <f t="shared" si="2"/>
        <v>-0.2239333333</v>
      </c>
      <c r="S202" s="24" t="s">
        <v>35</v>
      </c>
      <c r="T202" s="24" t="s">
        <v>36</v>
      </c>
      <c r="U202" s="11" t="str">
        <f t="shared" si="3"/>
        <v>Sunday</v>
      </c>
    </row>
    <row r="203">
      <c r="A203" s="7">
        <v>203.0</v>
      </c>
      <c r="B203" s="20">
        <v>45767.0</v>
      </c>
      <c r="C203" s="7">
        <v>33.0</v>
      </c>
      <c r="D203" s="7" t="s">
        <v>42</v>
      </c>
      <c r="F203" s="7" t="s">
        <v>59</v>
      </c>
      <c r="H203" s="7" t="s">
        <v>82</v>
      </c>
      <c r="I203" s="7" t="s">
        <v>83</v>
      </c>
      <c r="J203" s="21" t="s">
        <v>70</v>
      </c>
      <c r="K203" s="21">
        <v>1.57</v>
      </c>
      <c r="L203" s="4">
        <v>2.5</v>
      </c>
      <c r="M203" s="7" t="s">
        <v>34</v>
      </c>
      <c r="N203" s="22">
        <v>3.93</v>
      </c>
      <c r="O203" s="22">
        <f t="shared" si="6"/>
        <v>1.43</v>
      </c>
      <c r="P203" s="23">
        <f t="shared" si="5"/>
        <v>234.25</v>
      </c>
      <c r="Q203" s="23">
        <f t="shared" si="1"/>
        <v>-65.76</v>
      </c>
      <c r="R203" s="9">
        <f t="shared" si="2"/>
        <v>-0.2191666667</v>
      </c>
      <c r="S203" s="24" t="s">
        <v>35</v>
      </c>
      <c r="T203" s="24" t="s">
        <v>36</v>
      </c>
      <c r="U203" s="11" t="str">
        <f t="shared" si="3"/>
        <v>Sunday</v>
      </c>
    </row>
    <row r="204">
      <c r="A204" s="7">
        <v>204.0</v>
      </c>
      <c r="B204" s="20">
        <v>45767.0</v>
      </c>
      <c r="C204" s="7">
        <v>33.0</v>
      </c>
      <c r="D204" s="7" t="s">
        <v>50</v>
      </c>
      <c r="F204" s="7" t="s">
        <v>78</v>
      </c>
      <c r="H204" s="7" t="s">
        <v>82</v>
      </c>
      <c r="I204" s="7" t="s">
        <v>106</v>
      </c>
      <c r="J204" s="21" t="s">
        <v>70</v>
      </c>
      <c r="K204" s="21">
        <v>2.5</v>
      </c>
      <c r="L204" s="4">
        <v>2.5</v>
      </c>
      <c r="M204" s="7" t="s">
        <v>44</v>
      </c>
      <c r="N204" s="22">
        <v>0.0</v>
      </c>
      <c r="O204" s="22">
        <f t="shared" si="6"/>
        <v>-2.5</v>
      </c>
      <c r="P204" s="23">
        <f t="shared" si="5"/>
        <v>231.75</v>
      </c>
      <c r="Q204" s="23">
        <f t="shared" si="1"/>
        <v>-68.26</v>
      </c>
      <c r="R204" s="9">
        <f t="shared" si="2"/>
        <v>-0.2275</v>
      </c>
      <c r="S204" s="24" t="s">
        <v>35</v>
      </c>
      <c r="T204" s="24" t="s">
        <v>36</v>
      </c>
      <c r="U204" s="11" t="str">
        <f t="shared" si="3"/>
        <v>Sunday</v>
      </c>
    </row>
    <row r="205">
      <c r="A205" s="7">
        <v>205.0</v>
      </c>
      <c r="B205" s="20">
        <v>45767.0</v>
      </c>
      <c r="C205" s="7">
        <v>34.0</v>
      </c>
      <c r="D205" s="7" t="s">
        <v>38</v>
      </c>
      <c r="F205" s="7" t="s">
        <v>49</v>
      </c>
      <c r="H205" s="7" t="s">
        <v>33</v>
      </c>
      <c r="I205" s="7" t="s">
        <v>38</v>
      </c>
      <c r="J205" s="21" t="s">
        <v>38</v>
      </c>
      <c r="K205" s="21">
        <v>1.5</v>
      </c>
      <c r="L205" s="4">
        <v>3.0</v>
      </c>
      <c r="M205" s="7" t="s">
        <v>34</v>
      </c>
      <c r="N205" s="22">
        <v>4.5</v>
      </c>
      <c r="O205" s="22">
        <f t="shared" si="6"/>
        <v>1.5</v>
      </c>
      <c r="P205" s="23">
        <f t="shared" si="5"/>
        <v>233.25</v>
      </c>
      <c r="Q205" s="23">
        <f t="shared" si="1"/>
        <v>-66.76</v>
      </c>
      <c r="R205" s="9">
        <f t="shared" si="2"/>
        <v>-0.2225</v>
      </c>
      <c r="S205" s="24" t="s">
        <v>35</v>
      </c>
      <c r="T205" s="24" t="s">
        <v>36</v>
      </c>
      <c r="U205" s="11" t="str">
        <f t="shared" si="3"/>
        <v>Sunday</v>
      </c>
    </row>
    <row r="206">
      <c r="A206" s="7">
        <v>206.0</v>
      </c>
      <c r="B206" s="20">
        <v>45773.0</v>
      </c>
      <c r="C206" s="7">
        <v>34.0</v>
      </c>
      <c r="D206" s="7" t="s">
        <v>88</v>
      </c>
      <c r="F206" s="7" t="s">
        <v>32</v>
      </c>
      <c r="H206" s="7" t="s">
        <v>33</v>
      </c>
      <c r="I206" s="7" t="s">
        <v>32</v>
      </c>
      <c r="J206" s="21" t="s">
        <v>32</v>
      </c>
      <c r="K206" s="21">
        <v>1.61</v>
      </c>
      <c r="L206" s="4">
        <v>3.0</v>
      </c>
      <c r="M206" s="7" t="s">
        <v>34</v>
      </c>
      <c r="N206" s="22">
        <v>4.85</v>
      </c>
      <c r="O206" s="22">
        <f t="shared" si="6"/>
        <v>1.85</v>
      </c>
      <c r="P206" s="23">
        <f t="shared" si="5"/>
        <v>235.1</v>
      </c>
      <c r="Q206" s="23">
        <f t="shared" si="1"/>
        <v>-64.91</v>
      </c>
      <c r="R206" s="9">
        <f t="shared" si="2"/>
        <v>-0.2163333333</v>
      </c>
      <c r="S206" s="24" t="s">
        <v>35</v>
      </c>
      <c r="T206" s="24" t="s">
        <v>36</v>
      </c>
      <c r="U206" s="11" t="str">
        <f t="shared" si="3"/>
        <v>Saturday</v>
      </c>
    </row>
    <row r="207">
      <c r="A207" s="7">
        <v>207.0</v>
      </c>
      <c r="B207" s="20">
        <v>45773.0</v>
      </c>
      <c r="C207" s="7">
        <v>34.0</v>
      </c>
      <c r="D207" s="7" t="s">
        <v>69</v>
      </c>
      <c r="F207" s="7" t="s">
        <v>57</v>
      </c>
      <c r="H207" s="7" t="s">
        <v>33</v>
      </c>
      <c r="I207" s="7" t="s">
        <v>69</v>
      </c>
      <c r="J207" s="21" t="s">
        <v>69</v>
      </c>
      <c r="K207" s="21">
        <v>1.45</v>
      </c>
      <c r="L207" s="4">
        <v>3.0</v>
      </c>
      <c r="M207" s="7" t="s">
        <v>34</v>
      </c>
      <c r="N207" s="22">
        <v>4.35</v>
      </c>
      <c r="O207" s="22">
        <f t="shared" si="6"/>
        <v>1.35</v>
      </c>
      <c r="P207" s="23">
        <f t="shared" si="5"/>
        <v>236.45</v>
      </c>
      <c r="Q207" s="23">
        <f t="shared" si="1"/>
        <v>-63.56</v>
      </c>
      <c r="R207" s="9">
        <f t="shared" si="2"/>
        <v>-0.2118333333</v>
      </c>
      <c r="S207" s="24" t="s">
        <v>35</v>
      </c>
      <c r="T207" s="24" t="s">
        <v>36</v>
      </c>
      <c r="U207" s="11" t="str">
        <f t="shared" si="3"/>
        <v>Saturday</v>
      </c>
    </row>
    <row r="208">
      <c r="A208" s="7">
        <v>208.0</v>
      </c>
      <c r="B208" s="20">
        <v>45773.0</v>
      </c>
      <c r="C208" s="7">
        <v>34.0</v>
      </c>
      <c r="D208" s="7" t="s">
        <v>51</v>
      </c>
      <c r="F208" s="7" t="s">
        <v>41</v>
      </c>
      <c r="H208" s="7" t="s">
        <v>52</v>
      </c>
      <c r="I208" s="7" t="s">
        <v>41</v>
      </c>
      <c r="J208" s="21" t="s">
        <v>41</v>
      </c>
      <c r="K208" s="21">
        <v>3.5</v>
      </c>
      <c r="L208" s="4">
        <v>1.5</v>
      </c>
      <c r="M208" s="7" t="s">
        <v>44</v>
      </c>
      <c r="N208" s="22">
        <v>0.0</v>
      </c>
      <c r="O208" s="22">
        <f t="shared" si="6"/>
        <v>-1.5</v>
      </c>
      <c r="P208" s="23">
        <f t="shared" si="5"/>
        <v>234.95</v>
      </c>
      <c r="Q208" s="23">
        <f t="shared" si="1"/>
        <v>-65.06</v>
      </c>
      <c r="R208" s="9">
        <f t="shared" si="2"/>
        <v>-0.2168333333</v>
      </c>
      <c r="S208" s="24" t="s">
        <v>35</v>
      </c>
      <c r="T208" s="24" t="s">
        <v>36</v>
      </c>
      <c r="U208" s="11" t="str">
        <f t="shared" si="3"/>
        <v>Saturday</v>
      </c>
    </row>
    <row r="209">
      <c r="A209" s="7">
        <v>209.0</v>
      </c>
      <c r="B209" s="20">
        <v>45773.0</v>
      </c>
      <c r="C209" s="7">
        <v>34.0</v>
      </c>
      <c r="D209" s="7" t="s">
        <v>46</v>
      </c>
      <c r="F209" s="7" t="s">
        <v>42</v>
      </c>
      <c r="H209" s="7" t="s">
        <v>52</v>
      </c>
      <c r="I209" s="7" t="s">
        <v>46</v>
      </c>
      <c r="J209" s="21" t="s">
        <v>46</v>
      </c>
      <c r="K209" s="21">
        <v>2.25</v>
      </c>
      <c r="L209" s="4">
        <v>1.5</v>
      </c>
      <c r="M209" s="7" t="s">
        <v>34</v>
      </c>
      <c r="N209" s="22">
        <v>3.38</v>
      </c>
      <c r="O209" s="22">
        <f t="shared" si="6"/>
        <v>1.88</v>
      </c>
      <c r="P209" s="23">
        <f t="shared" si="5"/>
        <v>236.83</v>
      </c>
      <c r="Q209" s="23">
        <f t="shared" si="1"/>
        <v>-63.18</v>
      </c>
      <c r="R209" s="9">
        <f t="shared" si="2"/>
        <v>-0.2105666667</v>
      </c>
      <c r="S209" s="24" t="s">
        <v>125</v>
      </c>
      <c r="T209" s="24" t="s">
        <v>36</v>
      </c>
      <c r="U209" s="11" t="str">
        <f t="shared" si="3"/>
        <v>Saturday</v>
      </c>
    </row>
    <row r="210">
      <c r="A210" s="7">
        <v>210.0</v>
      </c>
      <c r="B210" s="20">
        <v>45773.0</v>
      </c>
      <c r="D210" s="7" t="s">
        <v>37</v>
      </c>
      <c r="F210" s="7" t="s">
        <v>152</v>
      </c>
      <c r="H210" s="7" t="s">
        <v>33</v>
      </c>
      <c r="I210" s="7" t="s">
        <v>37</v>
      </c>
      <c r="J210" s="21" t="s">
        <v>37</v>
      </c>
      <c r="K210" s="21">
        <v>2.1</v>
      </c>
      <c r="L210" s="4">
        <v>5.0</v>
      </c>
      <c r="M210" s="7" t="s">
        <v>44</v>
      </c>
      <c r="N210" s="22">
        <v>0.0</v>
      </c>
      <c r="O210" s="22">
        <f t="shared" si="6"/>
        <v>-5</v>
      </c>
      <c r="P210" s="23">
        <f t="shared" si="5"/>
        <v>231.83</v>
      </c>
      <c r="Q210" s="23">
        <f t="shared" si="1"/>
        <v>-68.18</v>
      </c>
      <c r="R210" s="9">
        <f t="shared" si="2"/>
        <v>-0.2272333333</v>
      </c>
      <c r="S210" s="24" t="s">
        <v>153</v>
      </c>
      <c r="T210" s="24" t="s">
        <v>36</v>
      </c>
      <c r="U210" s="11" t="str">
        <f t="shared" si="3"/>
        <v>Saturday</v>
      </c>
    </row>
    <row r="211">
      <c r="A211" s="7">
        <v>211.0</v>
      </c>
      <c r="B211" s="20">
        <v>45780.0</v>
      </c>
      <c r="C211" s="7">
        <v>35.0</v>
      </c>
      <c r="D211" s="7" t="s">
        <v>69</v>
      </c>
      <c r="F211" s="7" t="s">
        <v>61</v>
      </c>
      <c r="H211" s="7" t="s">
        <v>82</v>
      </c>
      <c r="I211" s="7" t="s">
        <v>83</v>
      </c>
      <c r="J211" s="21" t="s">
        <v>70</v>
      </c>
      <c r="K211" s="21">
        <v>1.5</v>
      </c>
      <c r="L211" s="4">
        <v>3.0</v>
      </c>
      <c r="M211" s="7" t="s">
        <v>34</v>
      </c>
      <c r="N211" s="22">
        <v>4.5</v>
      </c>
      <c r="O211" s="22">
        <f t="shared" si="6"/>
        <v>1.5</v>
      </c>
      <c r="P211" s="23">
        <f t="shared" si="5"/>
        <v>233.33</v>
      </c>
      <c r="Q211" s="23">
        <f t="shared" si="1"/>
        <v>-66.68</v>
      </c>
      <c r="R211" s="9">
        <f t="shared" si="2"/>
        <v>-0.2222333333</v>
      </c>
      <c r="S211" s="24" t="s">
        <v>35</v>
      </c>
      <c r="T211" s="24" t="s">
        <v>36</v>
      </c>
      <c r="U211" s="11" t="str">
        <f t="shared" si="3"/>
        <v>Saturday</v>
      </c>
    </row>
    <row r="212">
      <c r="A212" s="7">
        <v>212.0</v>
      </c>
      <c r="B212" s="20">
        <v>45780.0</v>
      </c>
      <c r="C212" s="7">
        <v>35.0</v>
      </c>
      <c r="D212" s="7" t="s">
        <v>37</v>
      </c>
      <c r="F212" s="7" t="s">
        <v>58</v>
      </c>
      <c r="H212" s="7" t="s">
        <v>33</v>
      </c>
      <c r="I212" s="7" t="s">
        <v>37</v>
      </c>
      <c r="J212" s="21" t="s">
        <v>37</v>
      </c>
      <c r="K212" s="21">
        <v>1.9</v>
      </c>
      <c r="L212" s="4">
        <v>3.0</v>
      </c>
      <c r="M212" s="7" t="s">
        <v>44</v>
      </c>
      <c r="N212" s="22">
        <v>0.0</v>
      </c>
      <c r="O212" s="22">
        <f t="shared" si="6"/>
        <v>-3</v>
      </c>
      <c r="P212" s="23">
        <f t="shared" si="5"/>
        <v>230.33</v>
      </c>
      <c r="Q212" s="23">
        <f t="shared" si="1"/>
        <v>-69.68</v>
      </c>
      <c r="R212" s="9">
        <f t="shared" si="2"/>
        <v>-0.2322333333</v>
      </c>
      <c r="S212" s="24" t="s">
        <v>35</v>
      </c>
      <c r="T212" s="24" t="s">
        <v>36</v>
      </c>
      <c r="U212" s="11" t="str">
        <f t="shared" si="3"/>
        <v>Saturday</v>
      </c>
    </row>
    <row r="213">
      <c r="A213" s="7">
        <v>213.0</v>
      </c>
      <c r="B213" s="20">
        <v>45780.0</v>
      </c>
      <c r="C213" s="7">
        <v>35.0</v>
      </c>
      <c r="D213" s="7" t="s">
        <v>49</v>
      </c>
      <c r="F213" s="7" t="s">
        <v>88</v>
      </c>
      <c r="H213" s="7" t="s">
        <v>33</v>
      </c>
      <c r="I213" s="7" t="s">
        <v>49</v>
      </c>
      <c r="J213" s="21" t="s">
        <v>49</v>
      </c>
      <c r="K213" s="21">
        <v>2.5</v>
      </c>
      <c r="L213" s="4">
        <v>3.0</v>
      </c>
      <c r="M213" s="7" t="s">
        <v>34</v>
      </c>
      <c r="N213" s="22">
        <v>7.5</v>
      </c>
      <c r="O213" s="22">
        <f t="shared" si="6"/>
        <v>4.5</v>
      </c>
      <c r="P213" s="23">
        <f t="shared" si="5"/>
        <v>234.83</v>
      </c>
      <c r="Q213" s="23">
        <f t="shared" si="1"/>
        <v>-65.18</v>
      </c>
      <c r="R213" s="9">
        <f t="shared" si="2"/>
        <v>-0.2172333333</v>
      </c>
      <c r="S213" s="24" t="s">
        <v>35</v>
      </c>
      <c r="T213" s="24" t="s">
        <v>36</v>
      </c>
      <c r="U213" s="11" t="str">
        <f t="shared" si="3"/>
        <v>Saturday</v>
      </c>
    </row>
    <row r="214">
      <c r="A214" s="7">
        <v>214.0</v>
      </c>
      <c r="B214" s="20">
        <v>45780.0</v>
      </c>
      <c r="C214" s="7">
        <v>35.0</v>
      </c>
      <c r="D214" s="7" t="s">
        <v>57</v>
      </c>
      <c r="F214" s="7" t="s">
        <v>54</v>
      </c>
      <c r="H214" s="7" t="s">
        <v>33</v>
      </c>
      <c r="I214" s="7" t="s">
        <v>57</v>
      </c>
      <c r="J214" s="21" t="s">
        <v>57</v>
      </c>
      <c r="K214" s="21">
        <v>1.5</v>
      </c>
      <c r="L214" s="4">
        <v>3.0</v>
      </c>
      <c r="M214" s="7" t="s">
        <v>34</v>
      </c>
      <c r="N214" s="22">
        <v>4.5</v>
      </c>
      <c r="O214" s="22">
        <f t="shared" si="6"/>
        <v>1.5</v>
      </c>
      <c r="P214" s="23">
        <f t="shared" si="5"/>
        <v>236.33</v>
      </c>
      <c r="Q214" s="23">
        <f t="shared" si="1"/>
        <v>-63.68</v>
      </c>
      <c r="R214" s="9">
        <f t="shared" si="2"/>
        <v>-0.2122333333</v>
      </c>
      <c r="S214" s="24" t="s">
        <v>35</v>
      </c>
      <c r="T214" s="24" t="s">
        <v>36</v>
      </c>
      <c r="U214" s="11" t="str">
        <f t="shared" si="3"/>
        <v>Saturday</v>
      </c>
    </row>
    <row r="215">
      <c r="A215" s="7">
        <v>215.0</v>
      </c>
      <c r="B215" s="20">
        <v>45780.0</v>
      </c>
      <c r="C215" s="7">
        <v>35.0</v>
      </c>
      <c r="D215" s="7" t="s">
        <v>42</v>
      </c>
      <c r="F215" s="7" t="s">
        <v>32</v>
      </c>
      <c r="H215" s="7" t="s">
        <v>33</v>
      </c>
      <c r="I215" s="7" t="s">
        <v>42</v>
      </c>
      <c r="J215" s="21" t="s">
        <v>42</v>
      </c>
      <c r="K215" s="21">
        <v>1.85</v>
      </c>
      <c r="L215" s="4">
        <v>3.0</v>
      </c>
      <c r="M215" s="7" t="s">
        <v>34</v>
      </c>
      <c r="N215" s="22">
        <v>5.55</v>
      </c>
      <c r="O215" s="22">
        <f t="shared" si="6"/>
        <v>2.55</v>
      </c>
      <c r="P215" s="23">
        <f t="shared" si="5"/>
        <v>238.88</v>
      </c>
      <c r="Q215" s="23">
        <f t="shared" si="1"/>
        <v>-61.13</v>
      </c>
      <c r="R215" s="9">
        <f t="shared" si="2"/>
        <v>-0.2037333333</v>
      </c>
      <c r="S215" s="24" t="s">
        <v>35</v>
      </c>
      <c r="T215" s="24" t="s">
        <v>36</v>
      </c>
      <c r="U215" s="11" t="str">
        <f t="shared" si="3"/>
        <v>Saturday</v>
      </c>
    </row>
    <row r="216">
      <c r="A216" s="7">
        <v>216.0</v>
      </c>
      <c r="B216" s="20">
        <v>45787.0</v>
      </c>
      <c r="C216" s="7">
        <v>36.0</v>
      </c>
      <c r="D216" s="7" t="s">
        <v>61</v>
      </c>
      <c r="F216" s="7" t="s">
        <v>37</v>
      </c>
      <c r="H216" s="7" t="s">
        <v>82</v>
      </c>
      <c r="I216" s="7" t="s">
        <v>83</v>
      </c>
      <c r="J216" s="21" t="s">
        <v>70</v>
      </c>
      <c r="K216" s="21">
        <v>1.61</v>
      </c>
      <c r="L216" s="4">
        <v>5.0</v>
      </c>
      <c r="M216" s="7" t="s">
        <v>34</v>
      </c>
      <c r="N216" s="22">
        <v>8.08</v>
      </c>
      <c r="O216" s="22">
        <f t="shared" si="6"/>
        <v>3.08</v>
      </c>
      <c r="P216" s="23">
        <f t="shared" si="5"/>
        <v>241.96</v>
      </c>
      <c r="Q216" s="23">
        <f t="shared" si="1"/>
        <v>-58.05</v>
      </c>
      <c r="R216" s="9">
        <f t="shared" si="2"/>
        <v>-0.1934666667</v>
      </c>
      <c r="S216" s="24" t="s">
        <v>35</v>
      </c>
      <c r="T216" s="24" t="s">
        <v>36</v>
      </c>
      <c r="U216" s="11" t="str">
        <f t="shared" si="3"/>
        <v>Saturday</v>
      </c>
    </row>
    <row r="217">
      <c r="A217" s="7">
        <v>217.0</v>
      </c>
      <c r="B217" s="20">
        <v>45787.0</v>
      </c>
      <c r="C217" s="7">
        <v>36.0</v>
      </c>
      <c r="D217" s="7" t="s">
        <v>78</v>
      </c>
      <c r="F217" s="7" t="s">
        <v>49</v>
      </c>
      <c r="H217" s="7" t="s">
        <v>82</v>
      </c>
      <c r="I217" s="7" t="s">
        <v>106</v>
      </c>
      <c r="J217" s="21" t="s">
        <v>70</v>
      </c>
      <c r="K217" s="21">
        <v>1.75</v>
      </c>
      <c r="L217" s="4">
        <v>5.0</v>
      </c>
      <c r="M217" s="7" t="s">
        <v>44</v>
      </c>
      <c r="N217" s="22">
        <v>0.0</v>
      </c>
      <c r="O217" s="22">
        <f t="shared" si="6"/>
        <v>-5</v>
      </c>
      <c r="P217" s="23">
        <f t="shared" si="5"/>
        <v>236.96</v>
      </c>
      <c r="Q217" s="23">
        <f t="shared" si="1"/>
        <v>-63.05</v>
      </c>
      <c r="R217" s="9">
        <f t="shared" si="2"/>
        <v>-0.2101333333</v>
      </c>
      <c r="S217" s="24" t="s">
        <v>35</v>
      </c>
      <c r="T217" s="24" t="s">
        <v>36</v>
      </c>
      <c r="U217" s="11" t="str">
        <f t="shared" si="3"/>
        <v>Saturday</v>
      </c>
    </row>
    <row r="218">
      <c r="A218" s="7">
        <v>218.0</v>
      </c>
      <c r="B218" s="20">
        <v>45787.0</v>
      </c>
      <c r="C218" s="7">
        <v>36.0</v>
      </c>
      <c r="D218" s="7" t="s">
        <v>59</v>
      </c>
      <c r="F218" s="7" t="s">
        <v>69</v>
      </c>
      <c r="H218" s="7" t="s">
        <v>52</v>
      </c>
      <c r="I218" s="7" t="s">
        <v>59</v>
      </c>
      <c r="J218" s="21" t="s">
        <v>59</v>
      </c>
      <c r="K218" s="21">
        <v>1.57</v>
      </c>
      <c r="L218" s="4">
        <v>5.0</v>
      </c>
      <c r="M218" s="7" t="s">
        <v>34</v>
      </c>
      <c r="N218" s="22">
        <v>7.86</v>
      </c>
      <c r="O218" s="22">
        <f t="shared" si="6"/>
        <v>2.86</v>
      </c>
      <c r="P218" s="23">
        <f t="shared" si="5"/>
        <v>239.82</v>
      </c>
      <c r="Q218" s="23">
        <f t="shared" si="1"/>
        <v>-60.19</v>
      </c>
      <c r="R218" s="9">
        <f t="shared" si="2"/>
        <v>-0.2006</v>
      </c>
      <c r="S218" s="24" t="s">
        <v>35</v>
      </c>
      <c r="T218" s="24" t="s">
        <v>36</v>
      </c>
      <c r="U218" s="11" t="str">
        <f t="shared" si="3"/>
        <v>Saturday</v>
      </c>
    </row>
    <row r="219">
      <c r="A219" s="7">
        <v>219.0</v>
      </c>
      <c r="B219" s="20">
        <v>45787.0</v>
      </c>
      <c r="C219" s="7">
        <v>36.0</v>
      </c>
      <c r="D219" s="7" t="s">
        <v>38</v>
      </c>
      <c r="F219" s="7" t="s">
        <v>51</v>
      </c>
      <c r="H219" s="7" t="s">
        <v>52</v>
      </c>
      <c r="I219" s="7" t="s">
        <v>51</v>
      </c>
      <c r="J219" s="21" t="s">
        <v>51</v>
      </c>
      <c r="K219" s="21">
        <v>1.8</v>
      </c>
      <c r="L219" s="4">
        <v>5.0</v>
      </c>
      <c r="M219" s="7" t="s">
        <v>34</v>
      </c>
      <c r="N219" s="22">
        <v>9.0</v>
      </c>
      <c r="O219" s="22">
        <f t="shared" si="6"/>
        <v>4</v>
      </c>
      <c r="P219" s="23">
        <f t="shared" si="5"/>
        <v>243.82</v>
      </c>
      <c r="Q219" s="23">
        <f t="shared" si="1"/>
        <v>-56.19</v>
      </c>
      <c r="R219" s="9">
        <f t="shared" si="2"/>
        <v>-0.1872666667</v>
      </c>
      <c r="S219" s="24" t="s">
        <v>35</v>
      </c>
      <c r="T219" s="24" t="s">
        <v>36</v>
      </c>
      <c r="U219" s="11" t="str">
        <f t="shared" si="3"/>
        <v>Saturday</v>
      </c>
    </row>
    <row r="220">
      <c r="A220" s="7">
        <v>220.0</v>
      </c>
      <c r="B220" s="20">
        <v>45787.0</v>
      </c>
      <c r="C220" s="7">
        <v>36.0</v>
      </c>
      <c r="D220" s="7" t="s">
        <v>88</v>
      </c>
      <c r="F220" s="7" t="s">
        <v>53</v>
      </c>
      <c r="H220" s="7" t="s">
        <v>33</v>
      </c>
      <c r="I220" s="7" t="s">
        <v>53</v>
      </c>
      <c r="J220" s="21" t="s">
        <v>53</v>
      </c>
      <c r="K220" s="21">
        <v>1.2</v>
      </c>
      <c r="L220" s="4">
        <v>20.0</v>
      </c>
      <c r="M220" s="7" t="s">
        <v>44</v>
      </c>
      <c r="N220" s="22">
        <v>0.0</v>
      </c>
      <c r="O220" s="22">
        <f t="shared" si="6"/>
        <v>-20</v>
      </c>
      <c r="P220" s="23">
        <f t="shared" si="5"/>
        <v>223.82</v>
      </c>
      <c r="Q220" s="23">
        <f t="shared" si="1"/>
        <v>-76.19</v>
      </c>
      <c r="R220" s="9">
        <f t="shared" si="2"/>
        <v>-0.2539333333</v>
      </c>
      <c r="S220" s="24" t="s">
        <v>35</v>
      </c>
      <c r="T220" s="24" t="s">
        <v>36</v>
      </c>
      <c r="U220" s="11" t="str">
        <f t="shared" si="3"/>
        <v>Saturday</v>
      </c>
    </row>
    <row r="221">
      <c r="A221" s="7">
        <v>221.0</v>
      </c>
      <c r="B221" s="20">
        <v>45787.0</v>
      </c>
      <c r="C221" s="7">
        <v>36.0</v>
      </c>
      <c r="D221" s="7" t="s">
        <v>54</v>
      </c>
      <c r="F221" s="7" t="s">
        <v>45</v>
      </c>
      <c r="H221" s="7" t="s">
        <v>33</v>
      </c>
      <c r="I221" s="7" t="s">
        <v>45</v>
      </c>
      <c r="J221" s="21" t="s">
        <v>45</v>
      </c>
      <c r="K221" s="21">
        <v>1.53</v>
      </c>
      <c r="L221" s="4">
        <v>5.0</v>
      </c>
      <c r="M221" s="7" t="s">
        <v>34</v>
      </c>
      <c r="N221" s="22">
        <v>7.67</v>
      </c>
      <c r="O221" s="22">
        <f t="shared" si="6"/>
        <v>2.67</v>
      </c>
      <c r="P221" s="23">
        <f t="shared" si="5"/>
        <v>226.49</v>
      </c>
      <c r="Q221" s="23">
        <f t="shared" si="1"/>
        <v>-73.52</v>
      </c>
      <c r="R221" s="9">
        <f t="shared" si="2"/>
        <v>-0.2450333333</v>
      </c>
      <c r="S221" s="24" t="s">
        <v>35</v>
      </c>
      <c r="T221" s="24" t="s">
        <v>36</v>
      </c>
      <c r="U221" s="11" t="str">
        <f t="shared" si="3"/>
        <v>Saturday</v>
      </c>
    </row>
    <row r="222">
      <c r="A222" s="7">
        <v>222.0</v>
      </c>
      <c r="B222" s="20">
        <v>45794.0</v>
      </c>
      <c r="D222" s="7" t="s">
        <v>46</v>
      </c>
      <c r="F222" s="7" t="s">
        <v>53</v>
      </c>
      <c r="H222" s="7" t="s">
        <v>154</v>
      </c>
      <c r="I222" s="7" t="s">
        <v>46</v>
      </c>
      <c r="J222" s="21" t="s">
        <v>46</v>
      </c>
      <c r="K222" s="21">
        <v>3.2</v>
      </c>
      <c r="L222" s="4">
        <v>1.0</v>
      </c>
      <c r="M222" s="7" t="s">
        <v>34</v>
      </c>
      <c r="N222" s="22">
        <v>3.2</v>
      </c>
      <c r="O222" s="22">
        <f t="shared" si="6"/>
        <v>2.2</v>
      </c>
      <c r="P222" s="23">
        <f t="shared" si="5"/>
        <v>228.69</v>
      </c>
      <c r="Q222" s="23">
        <f t="shared" si="1"/>
        <v>-71.32</v>
      </c>
      <c r="R222" s="9">
        <f t="shared" si="2"/>
        <v>-0.2377</v>
      </c>
      <c r="S222" s="24" t="s">
        <v>125</v>
      </c>
      <c r="T222" s="24" t="s">
        <v>36</v>
      </c>
      <c r="U222" s="11" t="str">
        <f t="shared" si="3"/>
        <v>Saturday</v>
      </c>
    </row>
    <row r="223">
      <c r="A223" s="7">
        <v>223.0</v>
      </c>
      <c r="B223" s="20">
        <v>45794.0</v>
      </c>
      <c r="D223" s="7" t="s">
        <v>46</v>
      </c>
      <c r="F223" s="7" t="s">
        <v>53</v>
      </c>
      <c r="H223" s="7" t="s">
        <v>155</v>
      </c>
      <c r="I223" s="7" t="s">
        <v>156</v>
      </c>
      <c r="J223" s="21" t="s">
        <v>46</v>
      </c>
      <c r="K223" s="21">
        <v>17.0</v>
      </c>
      <c r="L223" s="4">
        <v>1.0</v>
      </c>
      <c r="M223" s="7" t="s">
        <v>44</v>
      </c>
      <c r="N223" s="22">
        <v>0.0</v>
      </c>
      <c r="O223" s="22">
        <f t="shared" si="6"/>
        <v>-1</v>
      </c>
      <c r="P223" s="26">
        <f t="shared" si="5"/>
        <v>227.69</v>
      </c>
      <c r="Q223" s="26">
        <f t="shared" si="1"/>
        <v>-72.32</v>
      </c>
      <c r="R223" s="27">
        <f t="shared" si="2"/>
        <v>-0.2410333333</v>
      </c>
      <c r="S223" s="24" t="s">
        <v>125</v>
      </c>
      <c r="T223" s="24" t="s">
        <v>36</v>
      </c>
      <c r="U223" s="28" t="str">
        <f t="shared" si="3"/>
        <v>Saturday</v>
      </c>
    </row>
    <row r="224">
      <c r="A224" s="7">
        <v>224.0</v>
      </c>
      <c r="B224" s="20">
        <v>45794.0</v>
      </c>
      <c r="C224" s="7">
        <v>37.0</v>
      </c>
      <c r="D224" s="7" t="s">
        <v>37</v>
      </c>
      <c r="F224" s="7" t="s">
        <v>59</v>
      </c>
      <c r="H224" s="7" t="s">
        <v>52</v>
      </c>
      <c r="I224" s="7" t="s">
        <v>37</v>
      </c>
      <c r="J224" s="21" t="s">
        <v>37</v>
      </c>
      <c r="K224" s="21">
        <v>1.44</v>
      </c>
      <c r="L224" s="4">
        <v>4.0</v>
      </c>
      <c r="M224" s="7" t="s">
        <v>34</v>
      </c>
      <c r="N224" s="22">
        <v>5.78</v>
      </c>
      <c r="O224" s="22">
        <f t="shared" si="6"/>
        <v>1.78</v>
      </c>
      <c r="P224" s="26">
        <f t="shared" si="5"/>
        <v>229.47</v>
      </c>
      <c r="Q224" s="26">
        <f t="shared" si="1"/>
        <v>-70.54</v>
      </c>
      <c r="R224" s="27">
        <f t="shared" si="2"/>
        <v>-0.2351</v>
      </c>
      <c r="S224" s="29" t="s">
        <v>35</v>
      </c>
      <c r="T224" s="24" t="s">
        <v>36</v>
      </c>
      <c r="U224" s="28" t="str">
        <f t="shared" si="3"/>
        <v>Saturday</v>
      </c>
    </row>
    <row r="225">
      <c r="A225" s="7">
        <v>225.0</v>
      </c>
      <c r="B225" s="20">
        <v>45794.0</v>
      </c>
      <c r="C225" s="7">
        <v>37.0</v>
      </c>
      <c r="D225" s="7" t="s">
        <v>45</v>
      </c>
      <c r="F225" s="7" t="s">
        <v>32</v>
      </c>
      <c r="H225" s="7" t="s">
        <v>52</v>
      </c>
      <c r="I225" s="7" t="s">
        <v>45</v>
      </c>
      <c r="J225" s="21" t="s">
        <v>45</v>
      </c>
      <c r="K225" s="21">
        <v>1.5</v>
      </c>
      <c r="L225" s="4">
        <v>4.0</v>
      </c>
      <c r="M225" s="7" t="s">
        <v>44</v>
      </c>
      <c r="N225" s="22">
        <v>0.0</v>
      </c>
      <c r="O225" s="22">
        <f t="shared" si="6"/>
        <v>-4</v>
      </c>
      <c r="P225" s="26">
        <f t="shared" si="5"/>
        <v>225.47</v>
      </c>
      <c r="Q225" s="26">
        <f t="shared" si="1"/>
        <v>-74.54</v>
      </c>
      <c r="R225" s="27">
        <f t="shared" si="2"/>
        <v>-0.2484333333</v>
      </c>
      <c r="S225" s="29" t="s">
        <v>35</v>
      </c>
      <c r="T225" s="24" t="s">
        <v>36</v>
      </c>
      <c r="U225" s="28" t="str">
        <f t="shared" si="3"/>
        <v>Saturday</v>
      </c>
    </row>
    <row r="226">
      <c r="A226" s="7">
        <v>226.0</v>
      </c>
      <c r="B226" s="20">
        <v>45794.0</v>
      </c>
      <c r="C226" s="7">
        <v>37.0</v>
      </c>
      <c r="D226" s="7" t="s">
        <v>41</v>
      </c>
      <c r="F226" s="7" t="s">
        <v>78</v>
      </c>
      <c r="H226" s="7" t="s">
        <v>52</v>
      </c>
      <c r="I226" s="7" t="s">
        <v>78</v>
      </c>
      <c r="J226" s="21" t="s">
        <v>78</v>
      </c>
      <c r="K226" s="21">
        <v>1.8</v>
      </c>
      <c r="L226" s="4">
        <v>4.0</v>
      </c>
      <c r="M226" s="7" t="s">
        <v>34</v>
      </c>
      <c r="N226" s="22">
        <v>7.2</v>
      </c>
      <c r="O226" s="22">
        <f t="shared" si="6"/>
        <v>3.2</v>
      </c>
      <c r="P226" s="26">
        <f t="shared" si="5"/>
        <v>228.67</v>
      </c>
      <c r="Q226" s="26">
        <f t="shared" si="1"/>
        <v>-71.34</v>
      </c>
      <c r="R226" s="27">
        <f t="shared" si="2"/>
        <v>-0.2377666667</v>
      </c>
      <c r="S226" s="29" t="s">
        <v>35</v>
      </c>
      <c r="T226" s="24" t="s">
        <v>36</v>
      </c>
      <c r="U226" s="28" t="str">
        <f t="shared" si="3"/>
        <v>Saturday</v>
      </c>
    </row>
    <row r="227">
      <c r="A227" s="7">
        <v>227.0</v>
      </c>
      <c r="B227" s="20">
        <v>45794.0</v>
      </c>
      <c r="C227" s="7">
        <v>37.0</v>
      </c>
      <c r="D227" s="7" t="s">
        <v>57</v>
      </c>
      <c r="F227" s="7" t="s">
        <v>88</v>
      </c>
      <c r="H227" s="7" t="s">
        <v>33</v>
      </c>
      <c r="I227" s="7" t="s">
        <v>57</v>
      </c>
      <c r="J227" s="21" t="s">
        <v>57</v>
      </c>
      <c r="K227" s="21">
        <v>1.4</v>
      </c>
      <c r="L227" s="4">
        <v>4.0</v>
      </c>
      <c r="M227" s="7" t="s">
        <v>34</v>
      </c>
      <c r="N227" s="22">
        <v>5.6</v>
      </c>
      <c r="O227" s="22">
        <f t="shared" si="6"/>
        <v>1.6</v>
      </c>
      <c r="P227" s="26">
        <f t="shared" si="5"/>
        <v>230.27</v>
      </c>
      <c r="Q227" s="26">
        <f t="shared" si="1"/>
        <v>-69.74</v>
      </c>
      <c r="R227" s="27">
        <f t="shared" si="2"/>
        <v>-0.2324333333</v>
      </c>
      <c r="S227" s="29" t="s">
        <v>35</v>
      </c>
      <c r="T227" s="24" t="s">
        <v>36</v>
      </c>
      <c r="U227" s="28" t="str">
        <f t="shared" si="3"/>
        <v>Saturday</v>
      </c>
    </row>
    <row r="228">
      <c r="A228" s="7">
        <v>228.0</v>
      </c>
      <c r="B228" s="20">
        <v>45794.0</v>
      </c>
      <c r="C228" s="7">
        <v>37.0</v>
      </c>
      <c r="D228" s="7" t="s">
        <v>53</v>
      </c>
      <c r="F228" s="7" t="s">
        <v>58</v>
      </c>
      <c r="H228" s="7" t="s">
        <v>33</v>
      </c>
      <c r="I228" s="7" t="s">
        <v>157</v>
      </c>
      <c r="J228" s="21" t="s">
        <v>53</v>
      </c>
      <c r="K228" s="21">
        <v>1.53</v>
      </c>
      <c r="L228" s="4">
        <v>4.0</v>
      </c>
      <c r="M228" s="7" t="s">
        <v>34</v>
      </c>
      <c r="N228" s="22">
        <v>6.14</v>
      </c>
      <c r="O228" s="22">
        <f t="shared" si="6"/>
        <v>2.14</v>
      </c>
      <c r="P228" s="26">
        <f t="shared" si="5"/>
        <v>232.41</v>
      </c>
      <c r="Q228" s="26">
        <f t="shared" si="1"/>
        <v>-67.6</v>
      </c>
      <c r="R228" s="27">
        <f t="shared" si="2"/>
        <v>-0.2253</v>
      </c>
      <c r="S228" s="29" t="s">
        <v>35</v>
      </c>
      <c r="T228" s="24" t="s">
        <v>36</v>
      </c>
      <c r="U228" s="28" t="str">
        <f t="shared" si="3"/>
        <v>Saturday</v>
      </c>
    </row>
    <row r="229">
      <c r="A229" s="7">
        <v>229.0</v>
      </c>
      <c r="B229" s="20">
        <v>45800.0</v>
      </c>
      <c r="D229" s="7" t="s">
        <v>70</v>
      </c>
      <c r="F229" s="7" t="s">
        <v>70</v>
      </c>
      <c r="H229" s="7" t="s">
        <v>112</v>
      </c>
      <c r="I229" s="7" t="s">
        <v>158</v>
      </c>
      <c r="J229" s="21" t="s">
        <v>70</v>
      </c>
      <c r="K229" s="21">
        <v>1.18</v>
      </c>
      <c r="L229" s="4">
        <v>5.0</v>
      </c>
      <c r="M229" s="7" t="s">
        <v>44</v>
      </c>
      <c r="N229" s="22">
        <v>0.0</v>
      </c>
      <c r="O229" s="22">
        <f t="shared" si="6"/>
        <v>-5</v>
      </c>
      <c r="P229" s="26">
        <f t="shared" si="5"/>
        <v>227.41</v>
      </c>
      <c r="Q229" s="26">
        <f t="shared" si="1"/>
        <v>-72.6</v>
      </c>
      <c r="R229" s="27">
        <f t="shared" si="2"/>
        <v>-0.2419666667</v>
      </c>
      <c r="S229" s="24" t="s">
        <v>159</v>
      </c>
      <c r="T229" s="24" t="s">
        <v>36</v>
      </c>
      <c r="U229" s="28" t="str">
        <f t="shared" si="3"/>
        <v>Friday</v>
      </c>
    </row>
    <row r="230">
      <c r="A230" s="7">
        <v>230.0</v>
      </c>
      <c r="B230" s="20">
        <v>45800.0</v>
      </c>
      <c r="D230" s="7" t="s">
        <v>70</v>
      </c>
      <c r="F230" s="7" t="s">
        <v>70</v>
      </c>
      <c r="H230" s="7" t="s">
        <v>112</v>
      </c>
      <c r="I230" s="7" t="s">
        <v>160</v>
      </c>
      <c r="J230" s="21" t="s">
        <v>70</v>
      </c>
      <c r="K230" s="21">
        <v>2.07</v>
      </c>
      <c r="L230" s="4">
        <v>5.0</v>
      </c>
      <c r="M230" s="7" t="s">
        <v>44</v>
      </c>
      <c r="N230" s="22">
        <v>0.0</v>
      </c>
      <c r="O230" s="22">
        <f t="shared" si="6"/>
        <v>-5</v>
      </c>
      <c r="P230" s="26">
        <f t="shared" si="5"/>
        <v>222.41</v>
      </c>
      <c r="Q230" s="26">
        <f t="shared" si="1"/>
        <v>-77.6</v>
      </c>
      <c r="R230" s="27">
        <f t="shared" si="2"/>
        <v>-0.2586333333</v>
      </c>
      <c r="S230" s="24" t="s">
        <v>159</v>
      </c>
      <c r="T230" s="24" t="s">
        <v>36</v>
      </c>
      <c r="U230" s="28" t="str">
        <f t="shared" si="3"/>
        <v>Friday</v>
      </c>
    </row>
    <row r="231">
      <c r="A231" s="7">
        <v>231.0</v>
      </c>
      <c r="B231" s="20">
        <v>45802.0</v>
      </c>
      <c r="C231" s="7">
        <v>38.0</v>
      </c>
      <c r="D231" s="7" t="s">
        <v>32</v>
      </c>
      <c r="F231" s="7" t="s">
        <v>53</v>
      </c>
      <c r="H231" s="7" t="s">
        <v>33</v>
      </c>
      <c r="I231" s="7" t="s">
        <v>53</v>
      </c>
      <c r="J231" s="21" t="s">
        <v>53</v>
      </c>
      <c r="K231" s="21">
        <v>1.57</v>
      </c>
      <c r="L231" s="4">
        <v>3.0</v>
      </c>
      <c r="M231" s="7" t="s">
        <v>34</v>
      </c>
      <c r="N231" s="22">
        <v>4.72</v>
      </c>
      <c r="O231" s="22">
        <f t="shared" si="6"/>
        <v>1.72</v>
      </c>
      <c r="P231" s="26">
        <f t="shared" si="5"/>
        <v>224.13</v>
      </c>
      <c r="Q231" s="26">
        <f t="shared" si="1"/>
        <v>-75.88</v>
      </c>
      <c r="R231" s="27">
        <f t="shared" si="2"/>
        <v>-0.2529</v>
      </c>
      <c r="S231" s="24" t="s">
        <v>35</v>
      </c>
      <c r="T231" s="24" t="s">
        <v>36</v>
      </c>
      <c r="U231" s="28" t="str">
        <f t="shared" si="3"/>
        <v>Sunday</v>
      </c>
    </row>
    <row r="232">
      <c r="A232" s="7">
        <v>232.0</v>
      </c>
      <c r="B232" s="20">
        <v>45802.0</v>
      </c>
      <c r="C232" s="7">
        <v>38.0</v>
      </c>
      <c r="D232" s="7" t="s">
        <v>31</v>
      </c>
      <c r="F232" s="7" t="s">
        <v>42</v>
      </c>
      <c r="H232" s="7" t="s">
        <v>33</v>
      </c>
      <c r="I232" s="7" t="s">
        <v>42</v>
      </c>
      <c r="J232" s="21" t="s">
        <v>42</v>
      </c>
      <c r="K232" s="21">
        <v>1.72</v>
      </c>
      <c r="L232" s="4">
        <v>3.0</v>
      </c>
      <c r="M232" s="7" t="s">
        <v>44</v>
      </c>
      <c r="N232" s="22">
        <v>0.0</v>
      </c>
      <c r="O232" s="22">
        <f t="shared" si="6"/>
        <v>-3</v>
      </c>
      <c r="P232" s="26">
        <f t="shared" si="5"/>
        <v>221.13</v>
      </c>
      <c r="Q232" s="26">
        <f t="shared" si="1"/>
        <v>-78.88</v>
      </c>
      <c r="R232" s="27">
        <f t="shared" si="2"/>
        <v>-0.2629</v>
      </c>
      <c r="S232" s="24" t="s">
        <v>35</v>
      </c>
      <c r="T232" s="24" t="s">
        <v>36</v>
      </c>
      <c r="U232" s="28" t="str">
        <f t="shared" si="3"/>
        <v>Sunday</v>
      </c>
    </row>
    <row r="233">
      <c r="A233" s="7">
        <v>233.0</v>
      </c>
      <c r="B233" s="20">
        <v>45802.0</v>
      </c>
      <c r="C233" s="7">
        <v>38.0</v>
      </c>
      <c r="D233" s="7" t="s">
        <v>59</v>
      </c>
      <c r="F233" s="7" t="s">
        <v>57</v>
      </c>
      <c r="H233" s="7" t="s">
        <v>33</v>
      </c>
      <c r="I233" s="7" t="s">
        <v>59</v>
      </c>
      <c r="J233" s="21" t="s">
        <v>59</v>
      </c>
      <c r="K233" s="21">
        <v>1.28</v>
      </c>
      <c r="L233" s="4">
        <v>3.0</v>
      </c>
      <c r="M233" s="7" t="s">
        <v>44</v>
      </c>
      <c r="N233" s="22">
        <v>0.0</v>
      </c>
      <c r="O233" s="22">
        <f t="shared" si="6"/>
        <v>-3</v>
      </c>
      <c r="P233" s="26">
        <f t="shared" si="5"/>
        <v>218.13</v>
      </c>
      <c r="Q233" s="26">
        <f t="shared" si="1"/>
        <v>-81.88</v>
      </c>
      <c r="R233" s="27">
        <f t="shared" si="2"/>
        <v>-0.2729</v>
      </c>
      <c r="S233" s="24" t="s">
        <v>35</v>
      </c>
      <c r="T233" s="24" t="s">
        <v>36</v>
      </c>
      <c r="U233" s="28" t="str">
        <f t="shared" si="3"/>
        <v>Sunday</v>
      </c>
    </row>
    <row r="234">
      <c r="A234" s="7">
        <v>234.0</v>
      </c>
      <c r="B234" s="20">
        <v>45802.0</v>
      </c>
      <c r="C234" s="7">
        <v>38.0</v>
      </c>
      <c r="D234" s="7" t="s">
        <v>61</v>
      </c>
      <c r="F234" s="7" t="s">
        <v>46</v>
      </c>
      <c r="H234" s="7" t="s">
        <v>52</v>
      </c>
      <c r="I234" s="7" t="s">
        <v>61</v>
      </c>
      <c r="J234" s="21" t="s">
        <v>61</v>
      </c>
      <c r="K234" s="21">
        <v>1.18</v>
      </c>
      <c r="L234" s="4">
        <v>3.0</v>
      </c>
      <c r="M234" s="7" t="s">
        <v>95</v>
      </c>
      <c r="N234" s="22">
        <v>3.0</v>
      </c>
      <c r="O234" s="22">
        <f t="shared" si="6"/>
        <v>0</v>
      </c>
      <c r="P234" s="26">
        <f t="shared" si="5"/>
        <v>218.13</v>
      </c>
      <c r="Q234" s="26">
        <f t="shared" si="1"/>
        <v>-81.88</v>
      </c>
      <c r="R234" s="27">
        <f t="shared" si="2"/>
        <v>-0.2729</v>
      </c>
      <c r="S234" s="24" t="s">
        <v>35</v>
      </c>
      <c r="T234" s="24" t="s">
        <v>36</v>
      </c>
      <c r="U234" s="28" t="str">
        <f t="shared" si="3"/>
        <v>Sunday</v>
      </c>
    </row>
    <row r="235">
      <c r="A235" s="7">
        <v>235.0</v>
      </c>
      <c r="B235" s="20">
        <v>45802.0</v>
      </c>
      <c r="C235" s="7">
        <v>38.0</v>
      </c>
      <c r="D235" s="7" t="s">
        <v>78</v>
      </c>
      <c r="F235" s="7" t="s">
        <v>69</v>
      </c>
      <c r="H235" s="7" t="s">
        <v>52</v>
      </c>
      <c r="I235" s="7" t="s">
        <v>78</v>
      </c>
      <c r="J235" s="21" t="s">
        <v>78</v>
      </c>
      <c r="K235" s="21">
        <v>2.37</v>
      </c>
      <c r="L235" s="4">
        <v>3.0</v>
      </c>
      <c r="M235" s="7" t="s">
        <v>44</v>
      </c>
      <c r="N235" s="22">
        <v>0.0</v>
      </c>
      <c r="O235" s="22">
        <f t="shared" si="6"/>
        <v>-3</v>
      </c>
      <c r="P235" s="26">
        <f t="shared" si="5"/>
        <v>215.13</v>
      </c>
      <c r="Q235" s="26">
        <f t="shared" si="1"/>
        <v>-84.88</v>
      </c>
      <c r="R235" s="27">
        <f t="shared" si="2"/>
        <v>-0.2829</v>
      </c>
      <c r="S235" s="24" t="s">
        <v>35</v>
      </c>
      <c r="T235" s="24" t="s">
        <v>36</v>
      </c>
      <c r="U235" s="28" t="str">
        <f t="shared" si="3"/>
        <v>Sunday</v>
      </c>
    </row>
    <row r="236">
      <c r="A236" s="7">
        <v>236.0</v>
      </c>
      <c r="B236" s="20">
        <v>45802.0</v>
      </c>
      <c r="C236" s="7">
        <v>38.0</v>
      </c>
      <c r="D236" s="7" t="s">
        <v>50</v>
      </c>
      <c r="F236" s="7" t="s">
        <v>51</v>
      </c>
      <c r="H236" s="7" t="s">
        <v>52</v>
      </c>
      <c r="I236" s="7" t="s">
        <v>50</v>
      </c>
      <c r="J236" s="21" t="s">
        <v>50</v>
      </c>
      <c r="K236" s="21">
        <v>3.75</v>
      </c>
      <c r="L236" s="4">
        <v>3.0</v>
      </c>
      <c r="M236" s="7" t="s">
        <v>44</v>
      </c>
      <c r="N236" s="22">
        <v>0.0</v>
      </c>
      <c r="O236" s="22">
        <f t="shared" si="6"/>
        <v>-3</v>
      </c>
      <c r="P236" s="26">
        <f t="shared" si="5"/>
        <v>212.13</v>
      </c>
      <c r="Q236" s="26">
        <f t="shared" si="1"/>
        <v>-87.88</v>
      </c>
      <c r="R236" s="27">
        <f t="shared" si="2"/>
        <v>-0.2929</v>
      </c>
      <c r="S236" s="24" t="s">
        <v>35</v>
      </c>
      <c r="T236" s="24" t="s">
        <v>36</v>
      </c>
      <c r="U236" s="28" t="str">
        <f t="shared" si="3"/>
        <v>Sunday</v>
      </c>
    </row>
    <row r="237">
      <c r="A237" s="7">
        <v>237.0</v>
      </c>
      <c r="B237" s="20">
        <v>45802.0</v>
      </c>
      <c r="C237" s="7">
        <v>38.0</v>
      </c>
      <c r="D237" s="7" t="s">
        <v>70</v>
      </c>
      <c r="F237" s="7" t="s">
        <v>70</v>
      </c>
      <c r="H237" s="7" t="s">
        <v>112</v>
      </c>
      <c r="I237" s="7" t="s">
        <v>161</v>
      </c>
      <c r="J237" s="21" t="s">
        <v>70</v>
      </c>
      <c r="K237" s="21">
        <v>3.61</v>
      </c>
      <c r="L237" s="4">
        <v>1.0</v>
      </c>
      <c r="M237" s="7" t="s">
        <v>44</v>
      </c>
      <c r="N237" s="22">
        <v>0.0</v>
      </c>
      <c r="O237" s="22">
        <f t="shared" si="6"/>
        <v>-1</v>
      </c>
      <c r="P237" s="26">
        <f t="shared" si="5"/>
        <v>211.13</v>
      </c>
      <c r="Q237" s="26">
        <f t="shared" si="1"/>
        <v>-88.88</v>
      </c>
      <c r="R237" s="27">
        <f t="shared" si="2"/>
        <v>-0.2962333333</v>
      </c>
      <c r="S237" s="24" t="s">
        <v>35</v>
      </c>
      <c r="T237" s="24" t="s">
        <v>36</v>
      </c>
      <c r="U237" s="28" t="str">
        <f t="shared" si="3"/>
        <v>Sunday</v>
      </c>
    </row>
    <row r="238">
      <c r="A238" s="7">
        <v>238.0</v>
      </c>
      <c r="B238" s="20">
        <v>45802.0</v>
      </c>
      <c r="C238" s="7">
        <v>38.0</v>
      </c>
      <c r="D238" s="7" t="s">
        <v>70</v>
      </c>
      <c r="F238" s="7" t="s">
        <v>70</v>
      </c>
      <c r="H238" s="7" t="s">
        <v>112</v>
      </c>
      <c r="I238" s="7" t="s">
        <v>162</v>
      </c>
      <c r="J238" s="21" t="s">
        <v>70</v>
      </c>
      <c r="K238" s="21">
        <v>10.52</v>
      </c>
      <c r="L238" s="4">
        <v>1.0</v>
      </c>
      <c r="M238" s="7" t="s">
        <v>44</v>
      </c>
      <c r="N238" s="22">
        <v>0.0</v>
      </c>
      <c r="O238" s="22">
        <f t="shared" si="6"/>
        <v>-1</v>
      </c>
      <c r="P238" s="26">
        <f t="shared" si="5"/>
        <v>210.13</v>
      </c>
      <c r="Q238" s="26">
        <f t="shared" si="1"/>
        <v>-89.88</v>
      </c>
      <c r="R238" s="27">
        <f t="shared" si="2"/>
        <v>-0.2995666667</v>
      </c>
      <c r="S238" s="24" t="s">
        <v>35</v>
      </c>
      <c r="T238" s="24" t="s">
        <v>36</v>
      </c>
      <c r="U238" s="28" t="str">
        <f t="shared" si="3"/>
        <v>Sunday</v>
      </c>
    </row>
    <row r="239">
      <c r="A239" s="7">
        <v>239.0</v>
      </c>
      <c r="B239" s="20">
        <v>45802.0</v>
      </c>
      <c r="C239" s="7">
        <v>38.0</v>
      </c>
      <c r="D239" s="7" t="s">
        <v>70</v>
      </c>
      <c r="F239" s="7" t="s">
        <v>70</v>
      </c>
      <c r="H239" s="7" t="s">
        <v>112</v>
      </c>
      <c r="I239" s="7" t="s">
        <v>163</v>
      </c>
      <c r="J239" s="21" t="s">
        <v>70</v>
      </c>
      <c r="K239" s="21">
        <v>36.73</v>
      </c>
      <c r="L239" s="4">
        <v>1.0</v>
      </c>
      <c r="M239" s="7" t="s">
        <v>44</v>
      </c>
      <c r="N239" s="22">
        <v>0.0</v>
      </c>
      <c r="O239" s="22">
        <f t="shared" si="6"/>
        <v>-1</v>
      </c>
      <c r="P239" s="26">
        <f t="shared" si="5"/>
        <v>209.13</v>
      </c>
      <c r="Q239" s="26">
        <f t="shared" si="1"/>
        <v>-90.88</v>
      </c>
      <c r="R239" s="27">
        <f t="shared" si="2"/>
        <v>-0.3029</v>
      </c>
      <c r="S239" s="24" t="s">
        <v>35</v>
      </c>
      <c r="T239" s="24" t="s">
        <v>36</v>
      </c>
      <c r="U239" s="28" t="str">
        <f t="shared" si="3"/>
        <v>Sunday</v>
      </c>
    </row>
    <row r="240">
      <c r="A240" s="7">
        <v>240.0</v>
      </c>
      <c r="B240" s="20">
        <v>45808.0</v>
      </c>
      <c r="D240" s="7" t="s">
        <v>164</v>
      </c>
      <c r="F240" s="7" t="s">
        <v>165</v>
      </c>
      <c r="H240" s="7" t="s">
        <v>52</v>
      </c>
      <c r="I240" s="7" t="s">
        <v>166</v>
      </c>
      <c r="J240" s="21" t="s">
        <v>166</v>
      </c>
      <c r="K240" s="21">
        <v>1.38</v>
      </c>
      <c r="L240" s="4">
        <v>2.0</v>
      </c>
      <c r="M240" s="7" t="s">
        <v>34</v>
      </c>
      <c r="N240" s="22">
        <v>2.76</v>
      </c>
      <c r="O240" s="22">
        <f t="shared" si="6"/>
        <v>0.76</v>
      </c>
      <c r="P240" s="26">
        <f t="shared" si="5"/>
        <v>209.89</v>
      </c>
      <c r="Q240" s="26">
        <f t="shared" si="1"/>
        <v>-90.12</v>
      </c>
      <c r="R240" s="27">
        <f t="shared" si="2"/>
        <v>-0.3003666667</v>
      </c>
      <c r="S240" s="24" t="s">
        <v>167</v>
      </c>
      <c r="T240" s="24" t="s">
        <v>168</v>
      </c>
      <c r="U240" s="28" t="str">
        <f t="shared" si="3"/>
        <v>Saturday</v>
      </c>
    </row>
    <row r="241">
      <c r="A241" s="7">
        <v>241.0</v>
      </c>
      <c r="B241" s="20">
        <v>45808.0</v>
      </c>
      <c r="D241" s="7" t="s">
        <v>169</v>
      </c>
      <c r="F241" s="7" t="s">
        <v>170</v>
      </c>
      <c r="H241" s="7" t="s">
        <v>52</v>
      </c>
      <c r="I241" s="7" t="s">
        <v>169</v>
      </c>
      <c r="J241" s="21" t="s">
        <v>171</v>
      </c>
      <c r="K241" s="21">
        <v>1.7</v>
      </c>
      <c r="L241" s="4">
        <v>2.0</v>
      </c>
      <c r="M241" s="7" t="s">
        <v>95</v>
      </c>
      <c r="N241" s="22">
        <v>2.0</v>
      </c>
      <c r="O241" s="22">
        <f t="shared" si="6"/>
        <v>0</v>
      </c>
      <c r="P241" s="26">
        <f t="shared" si="5"/>
        <v>209.89</v>
      </c>
      <c r="Q241" s="26">
        <f t="shared" si="1"/>
        <v>-90.12</v>
      </c>
      <c r="R241" s="27">
        <f t="shared" si="2"/>
        <v>-0.3003666667</v>
      </c>
      <c r="S241" s="24" t="s">
        <v>167</v>
      </c>
      <c r="T241" s="24" t="s">
        <v>168</v>
      </c>
      <c r="U241" s="28" t="str">
        <f t="shared" si="3"/>
        <v>Saturday</v>
      </c>
    </row>
    <row r="242">
      <c r="A242" s="7">
        <v>242.0</v>
      </c>
      <c r="B242" s="20">
        <v>45809.0</v>
      </c>
      <c r="D242" s="7" t="s">
        <v>164</v>
      </c>
      <c r="F242" s="7" t="s">
        <v>170</v>
      </c>
      <c r="H242" s="7" t="s">
        <v>52</v>
      </c>
      <c r="I242" s="7" t="s">
        <v>172</v>
      </c>
      <c r="J242" s="21" t="s">
        <v>166</v>
      </c>
      <c r="K242" s="21">
        <v>1.35</v>
      </c>
      <c r="L242" s="4">
        <v>2.0</v>
      </c>
      <c r="M242" s="7" t="s">
        <v>34</v>
      </c>
      <c r="N242" s="22">
        <v>2.7</v>
      </c>
      <c r="O242" s="22">
        <f t="shared" si="6"/>
        <v>0.7</v>
      </c>
      <c r="P242" s="26">
        <f t="shared" si="5"/>
        <v>210.59</v>
      </c>
      <c r="Q242" s="26">
        <f t="shared" si="1"/>
        <v>-89.42</v>
      </c>
      <c r="R242" s="27">
        <f t="shared" si="2"/>
        <v>-0.2980333333</v>
      </c>
      <c r="S242" s="24" t="s">
        <v>167</v>
      </c>
      <c r="T242" s="24" t="s">
        <v>168</v>
      </c>
      <c r="U242" s="28" t="str">
        <f t="shared" si="3"/>
        <v>Sunday</v>
      </c>
    </row>
    <row r="243">
      <c r="A243" s="7">
        <v>243.0</v>
      </c>
      <c r="B243" s="20">
        <v>45809.0</v>
      </c>
      <c r="D243" s="7" t="s">
        <v>165</v>
      </c>
      <c r="F243" s="7" t="s">
        <v>169</v>
      </c>
      <c r="H243" s="7" t="s">
        <v>52</v>
      </c>
      <c r="I243" s="7" t="s">
        <v>165</v>
      </c>
      <c r="J243" s="7" t="s">
        <v>165</v>
      </c>
      <c r="K243" s="21">
        <v>1.6</v>
      </c>
      <c r="L243" s="4">
        <v>2.0</v>
      </c>
      <c r="M243" s="7" t="s">
        <v>34</v>
      </c>
      <c r="N243" s="22">
        <v>3.2</v>
      </c>
      <c r="O243" s="22">
        <f t="shared" si="6"/>
        <v>1.2</v>
      </c>
      <c r="P243" s="26">
        <f t="shared" si="5"/>
        <v>211.79</v>
      </c>
      <c r="Q243" s="26">
        <f t="shared" si="1"/>
        <v>-88.22</v>
      </c>
      <c r="R243" s="27">
        <f t="shared" si="2"/>
        <v>-0.2940333333</v>
      </c>
      <c r="S243" s="24" t="s">
        <v>167</v>
      </c>
      <c r="T243" s="24" t="s">
        <v>168</v>
      </c>
      <c r="U243" s="28" t="str">
        <f t="shared" si="3"/>
        <v>Sunday</v>
      </c>
    </row>
    <row r="244">
      <c r="A244" s="7">
        <v>244.0</v>
      </c>
      <c r="B244" s="20">
        <v>45815.0</v>
      </c>
      <c r="D244" s="7" t="s">
        <v>173</v>
      </c>
      <c r="F244" s="7" t="s">
        <v>174</v>
      </c>
      <c r="H244" s="7" t="s">
        <v>33</v>
      </c>
      <c r="I244" s="7" t="s">
        <v>173</v>
      </c>
      <c r="J244" s="21" t="s">
        <v>173</v>
      </c>
      <c r="K244" s="21">
        <v>2.25</v>
      </c>
      <c r="L244" s="4">
        <v>3.0</v>
      </c>
      <c r="M244" s="7" t="s">
        <v>34</v>
      </c>
      <c r="N244" s="22">
        <v>6.75</v>
      </c>
      <c r="O244" s="22">
        <f t="shared" si="6"/>
        <v>3.75</v>
      </c>
      <c r="P244" s="26">
        <f t="shared" si="5"/>
        <v>215.54</v>
      </c>
      <c r="Q244" s="26">
        <f t="shared" si="1"/>
        <v>-84.47</v>
      </c>
      <c r="R244" s="27">
        <f t="shared" si="2"/>
        <v>-0.2815333333</v>
      </c>
      <c r="S244" s="24" t="s">
        <v>175</v>
      </c>
      <c r="T244" s="24" t="s">
        <v>176</v>
      </c>
      <c r="U244" s="28" t="str">
        <f t="shared" si="3"/>
        <v>Saturday</v>
      </c>
    </row>
    <row r="245">
      <c r="A245" s="7">
        <v>245.0</v>
      </c>
      <c r="B245" s="20">
        <v>45823.0</v>
      </c>
      <c r="D245" s="7" t="s">
        <v>177</v>
      </c>
      <c r="F245" s="7" t="s">
        <v>178</v>
      </c>
      <c r="H245" s="7" t="s">
        <v>52</v>
      </c>
      <c r="I245" s="7" t="s">
        <v>179</v>
      </c>
      <c r="J245" s="21" t="s">
        <v>179</v>
      </c>
      <c r="K245" s="21">
        <v>1.53</v>
      </c>
      <c r="L245" s="4">
        <v>2.0</v>
      </c>
      <c r="M245" s="7" t="s">
        <v>95</v>
      </c>
      <c r="N245" s="22">
        <v>2.0</v>
      </c>
      <c r="O245" s="22">
        <f t="shared" si="6"/>
        <v>0</v>
      </c>
      <c r="P245" s="26">
        <f t="shared" si="5"/>
        <v>215.54</v>
      </c>
      <c r="Q245" s="26">
        <f t="shared" si="1"/>
        <v>-84.47</v>
      </c>
      <c r="R245" s="27">
        <f t="shared" si="2"/>
        <v>-0.2815333333</v>
      </c>
      <c r="S245" s="24" t="s">
        <v>180</v>
      </c>
      <c r="T245" s="24" t="s">
        <v>36</v>
      </c>
      <c r="U245" s="28" t="str">
        <f t="shared" si="3"/>
        <v>Sunday</v>
      </c>
    </row>
    <row r="246">
      <c r="A246" s="7">
        <v>246.0</v>
      </c>
      <c r="B246" s="20">
        <v>45824.0</v>
      </c>
      <c r="D246" s="7" t="s">
        <v>152</v>
      </c>
      <c r="F246" s="7" t="s">
        <v>181</v>
      </c>
      <c r="H246" s="7" t="s">
        <v>52</v>
      </c>
      <c r="I246" s="7" t="s">
        <v>152</v>
      </c>
      <c r="J246" s="21" t="s">
        <v>152</v>
      </c>
      <c r="K246" s="21">
        <v>1.44</v>
      </c>
      <c r="L246" s="4">
        <v>2.0</v>
      </c>
      <c r="M246" s="7" t="s">
        <v>34</v>
      </c>
      <c r="N246" s="22">
        <v>2.89</v>
      </c>
      <c r="O246" s="22">
        <f t="shared" si="6"/>
        <v>0.89</v>
      </c>
      <c r="P246" s="26">
        <f t="shared" si="5"/>
        <v>216.43</v>
      </c>
      <c r="Q246" s="26">
        <f t="shared" si="1"/>
        <v>-83.58</v>
      </c>
      <c r="R246" s="27">
        <f t="shared" si="2"/>
        <v>-0.2785666667</v>
      </c>
      <c r="S246" s="24" t="s">
        <v>180</v>
      </c>
      <c r="T246" s="24" t="s">
        <v>36</v>
      </c>
      <c r="U246" s="28" t="str">
        <f t="shared" si="3"/>
        <v>Monday</v>
      </c>
    </row>
    <row r="247">
      <c r="A247" s="7">
        <v>247.0</v>
      </c>
      <c r="B247" s="20">
        <v>45824.0</v>
      </c>
      <c r="D247" s="7" t="s">
        <v>182</v>
      </c>
      <c r="F247" s="7" t="s">
        <v>183</v>
      </c>
      <c r="H247" s="7" t="s">
        <v>52</v>
      </c>
      <c r="I247" s="7" t="s">
        <v>182</v>
      </c>
      <c r="J247" s="21" t="s">
        <v>182</v>
      </c>
      <c r="K247" s="21">
        <v>1.72</v>
      </c>
      <c r="L247" s="4">
        <v>2.0</v>
      </c>
      <c r="M247" s="7" t="s">
        <v>95</v>
      </c>
      <c r="N247" s="22">
        <v>2.0</v>
      </c>
      <c r="O247" s="22">
        <f t="shared" si="6"/>
        <v>0</v>
      </c>
      <c r="P247" s="26">
        <f t="shared" si="5"/>
        <v>216.43</v>
      </c>
      <c r="Q247" s="26">
        <f t="shared" si="1"/>
        <v>-83.58</v>
      </c>
      <c r="R247" s="27">
        <f t="shared" si="2"/>
        <v>-0.2785666667</v>
      </c>
      <c r="S247" s="24" t="s">
        <v>180</v>
      </c>
      <c r="T247" s="24" t="s">
        <v>36</v>
      </c>
      <c r="U247" s="28" t="str">
        <f t="shared" si="3"/>
        <v>Monday</v>
      </c>
    </row>
    <row r="248">
      <c r="A248" s="7">
        <v>248.0</v>
      </c>
      <c r="B248" s="20">
        <v>45824.0</v>
      </c>
      <c r="D248" s="7" t="s">
        <v>184</v>
      </c>
      <c r="F248" s="7" t="s">
        <v>185</v>
      </c>
      <c r="H248" s="7" t="s">
        <v>52</v>
      </c>
      <c r="I248" s="7" t="s">
        <v>184</v>
      </c>
      <c r="J248" s="21" t="s">
        <v>184</v>
      </c>
      <c r="K248" s="21">
        <v>1.5</v>
      </c>
      <c r="L248" s="4">
        <v>2.0</v>
      </c>
      <c r="M248" s="7" t="s">
        <v>34</v>
      </c>
      <c r="N248" s="22">
        <v>3.0</v>
      </c>
      <c r="O248" s="22">
        <f t="shared" si="6"/>
        <v>1</v>
      </c>
      <c r="P248" s="26">
        <f t="shared" si="5"/>
        <v>217.43</v>
      </c>
      <c r="Q248" s="26">
        <f t="shared" si="1"/>
        <v>-82.58</v>
      </c>
      <c r="R248" s="27">
        <f t="shared" si="2"/>
        <v>-0.2752333333</v>
      </c>
      <c r="S248" s="24" t="s">
        <v>180</v>
      </c>
      <c r="T248" s="24" t="s">
        <v>36</v>
      </c>
      <c r="U248" s="28" t="str">
        <f t="shared" si="3"/>
        <v>Monday</v>
      </c>
    </row>
    <row r="249">
      <c r="A249" s="7">
        <v>249.0</v>
      </c>
      <c r="B249" s="20">
        <v>45824.0</v>
      </c>
      <c r="D249" s="7" t="s">
        <v>70</v>
      </c>
      <c r="F249" s="7" t="s">
        <v>70</v>
      </c>
      <c r="H249" s="7" t="s">
        <v>112</v>
      </c>
      <c r="I249" s="7" t="s">
        <v>186</v>
      </c>
      <c r="J249" s="21" t="s">
        <v>70</v>
      </c>
      <c r="K249" s="21">
        <v>3.74</v>
      </c>
      <c r="L249" s="4">
        <v>1.0</v>
      </c>
      <c r="M249" s="7" t="s">
        <v>34</v>
      </c>
      <c r="N249" s="22">
        <v>2.17</v>
      </c>
      <c r="O249" s="22">
        <f t="shared" si="6"/>
        <v>1.17</v>
      </c>
      <c r="P249" s="26">
        <f t="shared" si="5"/>
        <v>218.6</v>
      </c>
      <c r="Q249" s="26">
        <f t="shared" si="1"/>
        <v>-81.41</v>
      </c>
      <c r="R249" s="27">
        <f t="shared" si="2"/>
        <v>-0.2713333333</v>
      </c>
      <c r="S249" s="24" t="s">
        <v>180</v>
      </c>
      <c r="T249" s="24" t="s">
        <v>36</v>
      </c>
      <c r="U249" s="28" t="str">
        <f t="shared" si="3"/>
        <v>Monday</v>
      </c>
    </row>
    <row r="250">
      <c r="A250" s="7">
        <v>250.0</v>
      </c>
      <c r="B250" s="20">
        <v>45825.0</v>
      </c>
      <c r="D250" s="7" t="s">
        <v>69</v>
      </c>
      <c r="F250" s="7" t="s">
        <v>187</v>
      </c>
      <c r="H250" s="7" t="s">
        <v>33</v>
      </c>
      <c r="I250" s="7" t="s">
        <v>98</v>
      </c>
      <c r="J250" s="21" t="s">
        <v>98</v>
      </c>
      <c r="K250" s="21">
        <v>1.18</v>
      </c>
      <c r="L250" s="4">
        <v>2.0</v>
      </c>
      <c r="M250" s="7" t="s">
        <v>34</v>
      </c>
      <c r="N250" s="22">
        <v>2.37</v>
      </c>
      <c r="O250" s="22">
        <f t="shared" si="6"/>
        <v>0.37</v>
      </c>
      <c r="P250" s="26">
        <f t="shared" si="5"/>
        <v>218.97</v>
      </c>
      <c r="Q250" s="26">
        <f t="shared" si="1"/>
        <v>-81.04</v>
      </c>
      <c r="R250" s="27">
        <f t="shared" si="2"/>
        <v>-0.2701</v>
      </c>
      <c r="S250" s="24" t="s">
        <v>180</v>
      </c>
      <c r="T250" s="24" t="s">
        <v>36</v>
      </c>
      <c r="U250" s="28" t="str">
        <f t="shared" si="3"/>
        <v>Tuesday</v>
      </c>
    </row>
    <row r="251">
      <c r="A251" s="7">
        <v>251.0</v>
      </c>
      <c r="B251" s="20">
        <v>45825.0</v>
      </c>
      <c r="D251" s="7" t="s">
        <v>188</v>
      </c>
      <c r="F251" s="7" t="s">
        <v>189</v>
      </c>
      <c r="H251" s="7" t="s">
        <v>52</v>
      </c>
      <c r="I251" s="7" t="s">
        <v>190</v>
      </c>
      <c r="J251" s="21" t="s">
        <v>191</v>
      </c>
      <c r="K251" s="21">
        <v>1.28</v>
      </c>
      <c r="L251" s="4">
        <v>2.0</v>
      </c>
      <c r="M251" s="7" t="s">
        <v>95</v>
      </c>
      <c r="N251" s="22">
        <v>2.0</v>
      </c>
      <c r="O251" s="22">
        <f t="shared" si="6"/>
        <v>0</v>
      </c>
      <c r="P251" s="26">
        <f t="shared" si="5"/>
        <v>218.97</v>
      </c>
      <c r="Q251" s="26">
        <f t="shared" si="1"/>
        <v>-81.04</v>
      </c>
      <c r="R251" s="27">
        <f t="shared" si="2"/>
        <v>-0.2701</v>
      </c>
      <c r="S251" s="24" t="s">
        <v>180</v>
      </c>
      <c r="T251" s="24" t="s">
        <v>36</v>
      </c>
      <c r="U251" s="28" t="str">
        <f t="shared" si="3"/>
        <v>Tuesday</v>
      </c>
    </row>
    <row r="252">
      <c r="A252" s="7">
        <v>252.0</v>
      </c>
      <c r="B252" s="20">
        <v>45825.0</v>
      </c>
      <c r="D252" s="7" t="s">
        <v>192</v>
      </c>
      <c r="F252" s="7" t="s">
        <v>193</v>
      </c>
      <c r="H252" s="7" t="s">
        <v>33</v>
      </c>
      <c r="I252" s="7" t="s">
        <v>192</v>
      </c>
      <c r="J252" s="21" t="s">
        <v>192</v>
      </c>
      <c r="K252" s="21">
        <v>1.33</v>
      </c>
      <c r="L252" s="4">
        <v>2.0</v>
      </c>
      <c r="M252" s="7" t="s">
        <v>34</v>
      </c>
      <c r="N252" s="22">
        <v>2.67</v>
      </c>
      <c r="O252" s="22">
        <f t="shared" si="6"/>
        <v>0.67</v>
      </c>
      <c r="P252" s="26">
        <f t="shared" si="5"/>
        <v>219.64</v>
      </c>
      <c r="Q252" s="26">
        <f t="shared" si="1"/>
        <v>-80.37</v>
      </c>
      <c r="R252" s="27">
        <f t="shared" si="2"/>
        <v>-0.2678666667</v>
      </c>
      <c r="S252" s="24" t="s">
        <v>180</v>
      </c>
      <c r="T252" s="24" t="s">
        <v>36</v>
      </c>
      <c r="U252" s="28" t="str">
        <f t="shared" si="3"/>
        <v>Tuesday</v>
      </c>
    </row>
    <row r="253">
      <c r="A253" s="7">
        <v>253.0</v>
      </c>
      <c r="B253" s="20">
        <v>45825.0</v>
      </c>
      <c r="D253" s="7" t="s">
        <v>194</v>
      </c>
      <c r="F253" s="7" t="s">
        <v>194</v>
      </c>
      <c r="H253" s="7" t="s">
        <v>112</v>
      </c>
      <c r="I253" s="7" t="s">
        <v>195</v>
      </c>
      <c r="J253" s="21" t="s">
        <v>194</v>
      </c>
      <c r="K253" s="21">
        <v>2.02</v>
      </c>
      <c r="L253" s="4">
        <v>1.0</v>
      </c>
      <c r="M253" s="7" t="s">
        <v>34</v>
      </c>
      <c r="N253" s="22">
        <v>1.58</v>
      </c>
      <c r="O253" s="22">
        <f t="shared" si="6"/>
        <v>0.58</v>
      </c>
      <c r="P253" s="26">
        <f t="shared" si="5"/>
        <v>220.22</v>
      </c>
      <c r="Q253" s="26">
        <f t="shared" si="1"/>
        <v>-79.79</v>
      </c>
      <c r="R253" s="27">
        <f t="shared" si="2"/>
        <v>-0.2659333333</v>
      </c>
      <c r="S253" s="24" t="s">
        <v>180</v>
      </c>
      <c r="T253" s="24" t="s">
        <v>36</v>
      </c>
      <c r="U253" s="28" t="str">
        <f t="shared" si="3"/>
        <v>Tuesday</v>
      </c>
    </row>
    <row r="254">
      <c r="A254" s="7">
        <v>254.0</v>
      </c>
      <c r="B254" s="20">
        <v>45826.0</v>
      </c>
      <c r="D254" s="7" t="s">
        <v>196</v>
      </c>
      <c r="F254" s="7" t="s">
        <v>197</v>
      </c>
      <c r="H254" s="7" t="s">
        <v>52</v>
      </c>
      <c r="I254" s="7" t="s">
        <v>196</v>
      </c>
      <c r="J254" s="21" t="s">
        <v>198</v>
      </c>
      <c r="K254" s="21">
        <v>1.22</v>
      </c>
      <c r="L254" s="4">
        <v>2.0</v>
      </c>
      <c r="M254" s="7" t="s">
        <v>95</v>
      </c>
      <c r="N254" s="22">
        <v>2.0</v>
      </c>
      <c r="O254" s="22">
        <f t="shared" si="6"/>
        <v>0</v>
      </c>
      <c r="P254" s="26">
        <f t="shared" si="5"/>
        <v>220.22</v>
      </c>
      <c r="Q254" s="26">
        <f t="shared" si="1"/>
        <v>-79.79</v>
      </c>
      <c r="R254" s="27">
        <f t="shared" si="2"/>
        <v>-0.2659333333</v>
      </c>
      <c r="S254" s="24" t="s">
        <v>180</v>
      </c>
      <c r="T254" s="24" t="s">
        <v>36</v>
      </c>
      <c r="U254" s="28" t="str">
        <f t="shared" si="3"/>
        <v>Wednesday</v>
      </c>
    </row>
    <row r="255">
      <c r="A255" s="7">
        <v>255.0</v>
      </c>
      <c r="B255" s="20">
        <v>45826.0</v>
      </c>
      <c r="D255" s="7" t="s">
        <v>199</v>
      </c>
      <c r="F255" s="7" t="s">
        <v>200</v>
      </c>
      <c r="H255" s="7" t="s">
        <v>52</v>
      </c>
      <c r="I255" s="7" t="s">
        <v>199</v>
      </c>
      <c r="J255" s="7" t="s">
        <v>199</v>
      </c>
      <c r="K255" s="21">
        <v>1.25</v>
      </c>
      <c r="L255" s="4">
        <v>2.0</v>
      </c>
      <c r="M255" s="7" t="s">
        <v>34</v>
      </c>
      <c r="N255" s="22">
        <v>2.5</v>
      </c>
      <c r="O255" s="22">
        <f t="shared" si="6"/>
        <v>0.5</v>
      </c>
      <c r="P255" s="26">
        <f t="shared" si="5"/>
        <v>220.72</v>
      </c>
      <c r="Q255" s="26">
        <f t="shared" si="1"/>
        <v>-79.29</v>
      </c>
      <c r="R255" s="27">
        <f t="shared" si="2"/>
        <v>-0.2642666667</v>
      </c>
      <c r="S255" s="24" t="s">
        <v>180</v>
      </c>
      <c r="T255" s="24" t="s">
        <v>36</v>
      </c>
      <c r="U255" s="28" t="str">
        <f t="shared" si="3"/>
        <v>Wednesday</v>
      </c>
    </row>
    <row r="256">
      <c r="A256" s="7">
        <v>256.0</v>
      </c>
      <c r="B256" s="20">
        <v>45826.0</v>
      </c>
      <c r="D256" s="7" t="s">
        <v>201</v>
      </c>
      <c r="F256" s="7" t="s">
        <v>202</v>
      </c>
      <c r="H256" s="7" t="s">
        <v>52</v>
      </c>
      <c r="I256" s="7" t="s">
        <v>201</v>
      </c>
      <c r="J256" s="7" t="s">
        <v>201</v>
      </c>
      <c r="K256" s="21">
        <v>1.66</v>
      </c>
      <c r="L256" s="4">
        <v>2.0</v>
      </c>
      <c r="M256" s="7" t="s">
        <v>34</v>
      </c>
      <c r="N256" s="22">
        <v>3.34</v>
      </c>
      <c r="O256" s="22">
        <f t="shared" si="6"/>
        <v>1.34</v>
      </c>
      <c r="P256" s="26">
        <f t="shared" si="5"/>
        <v>222.06</v>
      </c>
      <c r="Q256" s="26">
        <f t="shared" si="1"/>
        <v>-77.95</v>
      </c>
      <c r="R256" s="27">
        <f t="shared" si="2"/>
        <v>-0.2598</v>
      </c>
      <c r="S256" s="24" t="s">
        <v>180</v>
      </c>
      <c r="T256" s="24" t="s">
        <v>36</v>
      </c>
      <c r="U256" s="28" t="str">
        <f t="shared" si="3"/>
        <v>Wednesday</v>
      </c>
    </row>
    <row r="257">
      <c r="A257" s="7">
        <v>257.0</v>
      </c>
      <c r="B257" s="20">
        <v>45826.0</v>
      </c>
      <c r="D257" s="7" t="s">
        <v>203</v>
      </c>
      <c r="F257" s="7" t="s">
        <v>204</v>
      </c>
      <c r="H257" s="7" t="s">
        <v>33</v>
      </c>
      <c r="I257" s="7" t="s">
        <v>204</v>
      </c>
      <c r="J257" s="7" t="s">
        <v>204</v>
      </c>
      <c r="K257" s="21">
        <v>1.38</v>
      </c>
      <c r="L257" s="4">
        <v>2.0</v>
      </c>
      <c r="M257" s="7" t="s">
        <v>44</v>
      </c>
      <c r="N257" s="22">
        <v>0.0</v>
      </c>
      <c r="O257" s="22">
        <f t="shared" si="6"/>
        <v>-2</v>
      </c>
      <c r="P257" s="26">
        <f t="shared" si="5"/>
        <v>220.06</v>
      </c>
      <c r="Q257" s="26">
        <f t="shared" si="1"/>
        <v>-79.95</v>
      </c>
      <c r="R257" s="27">
        <f t="shared" si="2"/>
        <v>-0.2664666667</v>
      </c>
      <c r="S257" s="24" t="s">
        <v>180</v>
      </c>
      <c r="T257" s="24" t="s">
        <v>36</v>
      </c>
      <c r="U257" s="28" t="str">
        <f t="shared" si="3"/>
        <v>Wednesday</v>
      </c>
    </row>
    <row r="258">
      <c r="A258" s="7">
        <v>258.0</v>
      </c>
      <c r="B258" s="20">
        <v>45826.0</v>
      </c>
      <c r="D258" s="7" t="s">
        <v>194</v>
      </c>
      <c r="F258" s="7" t="s">
        <v>194</v>
      </c>
      <c r="H258" s="7" t="s">
        <v>112</v>
      </c>
      <c r="I258" s="7" t="s">
        <v>205</v>
      </c>
      <c r="J258" s="7" t="s">
        <v>194</v>
      </c>
      <c r="K258" s="21">
        <v>3.51</v>
      </c>
      <c r="L258" s="4">
        <v>1.0</v>
      </c>
      <c r="M258" s="7" t="s">
        <v>44</v>
      </c>
      <c r="N258" s="22">
        <v>0.0</v>
      </c>
      <c r="O258" s="22">
        <f t="shared" si="6"/>
        <v>-1</v>
      </c>
      <c r="P258" s="26">
        <f t="shared" si="5"/>
        <v>219.06</v>
      </c>
      <c r="Q258" s="26">
        <f t="shared" si="1"/>
        <v>-80.95</v>
      </c>
      <c r="R258" s="27">
        <f t="shared" si="2"/>
        <v>-0.2698</v>
      </c>
      <c r="S258" s="24" t="s">
        <v>180</v>
      </c>
      <c r="T258" s="24" t="s">
        <v>36</v>
      </c>
      <c r="U258" s="28" t="str">
        <f t="shared" si="3"/>
        <v>Wednesday</v>
      </c>
    </row>
    <row r="259">
      <c r="A259" s="7">
        <v>259.0</v>
      </c>
      <c r="B259" s="20">
        <v>45827.0</v>
      </c>
      <c r="D259" s="7" t="s">
        <v>206</v>
      </c>
      <c r="F259" s="7" t="s">
        <v>207</v>
      </c>
      <c r="H259" s="7" t="s">
        <v>33</v>
      </c>
      <c r="I259" s="7" t="s">
        <v>208</v>
      </c>
      <c r="J259" s="7" t="s">
        <v>208</v>
      </c>
      <c r="K259" s="21">
        <v>1.3</v>
      </c>
      <c r="L259" s="4">
        <v>2.0</v>
      </c>
      <c r="M259" s="7" t="s">
        <v>44</v>
      </c>
      <c r="N259" s="22">
        <v>0.0</v>
      </c>
      <c r="O259" s="22">
        <f t="shared" si="6"/>
        <v>-2</v>
      </c>
      <c r="P259" s="26">
        <f t="shared" si="5"/>
        <v>217.06</v>
      </c>
      <c r="Q259" s="26">
        <f t="shared" si="1"/>
        <v>-82.95</v>
      </c>
      <c r="R259" s="27">
        <f t="shared" si="2"/>
        <v>-0.2764666667</v>
      </c>
      <c r="S259" s="24" t="s">
        <v>180</v>
      </c>
      <c r="T259" s="24" t="s">
        <v>36</v>
      </c>
      <c r="U259" s="28" t="str">
        <f t="shared" si="3"/>
        <v>Thursday</v>
      </c>
    </row>
    <row r="260">
      <c r="A260" s="7">
        <v>260.0</v>
      </c>
      <c r="B260" s="20">
        <v>45827.0</v>
      </c>
      <c r="D260" s="7" t="s">
        <v>209</v>
      </c>
      <c r="F260" s="7" t="s">
        <v>210</v>
      </c>
      <c r="H260" s="7" t="s">
        <v>52</v>
      </c>
      <c r="I260" s="7" t="s">
        <v>209</v>
      </c>
      <c r="J260" s="7" t="s">
        <v>209</v>
      </c>
      <c r="K260" s="21">
        <v>1.8</v>
      </c>
      <c r="L260" s="4">
        <v>2.0</v>
      </c>
      <c r="M260" s="7" t="s">
        <v>34</v>
      </c>
      <c r="N260" s="22">
        <v>3.6</v>
      </c>
      <c r="O260" s="22">
        <f t="shared" si="6"/>
        <v>1.6</v>
      </c>
      <c r="P260" s="26">
        <f t="shared" si="5"/>
        <v>218.66</v>
      </c>
      <c r="Q260" s="26">
        <f t="shared" si="1"/>
        <v>-81.35</v>
      </c>
      <c r="R260" s="27">
        <f t="shared" si="2"/>
        <v>-0.2711333333</v>
      </c>
      <c r="S260" s="24" t="s">
        <v>180</v>
      </c>
      <c r="T260" s="24" t="s">
        <v>36</v>
      </c>
      <c r="U260" s="28" t="str">
        <f t="shared" si="3"/>
        <v>Thursday</v>
      </c>
    </row>
    <row r="261">
      <c r="A261" s="7">
        <v>261.0</v>
      </c>
      <c r="B261" s="20">
        <v>45827.0</v>
      </c>
      <c r="D261" s="7" t="s">
        <v>211</v>
      </c>
      <c r="F261" s="7" t="s">
        <v>212</v>
      </c>
      <c r="H261" s="7" t="s">
        <v>33</v>
      </c>
      <c r="I261" s="7" t="s">
        <v>211</v>
      </c>
      <c r="J261" s="7" t="s">
        <v>211</v>
      </c>
      <c r="K261" s="21">
        <v>1.2</v>
      </c>
      <c r="L261" s="4">
        <v>2.0</v>
      </c>
      <c r="M261" s="7" t="s">
        <v>34</v>
      </c>
      <c r="N261" s="22">
        <v>2.4</v>
      </c>
      <c r="O261" s="22">
        <f t="shared" si="6"/>
        <v>0.4</v>
      </c>
      <c r="P261" s="26">
        <f t="shared" si="5"/>
        <v>219.06</v>
      </c>
      <c r="Q261" s="26">
        <f t="shared" si="1"/>
        <v>-80.95</v>
      </c>
      <c r="R261" s="27">
        <f t="shared" si="2"/>
        <v>-0.2698</v>
      </c>
      <c r="S261" s="24" t="s">
        <v>180</v>
      </c>
      <c r="T261" s="24" t="s">
        <v>36</v>
      </c>
      <c r="U261" s="28" t="str">
        <f t="shared" si="3"/>
        <v>Thursday</v>
      </c>
    </row>
    <row r="262">
      <c r="A262" s="7">
        <v>262.0</v>
      </c>
      <c r="B262" s="20">
        <v>45827.0</v>
      </c>
      <c r="D262" s="7" t="s">
        <v>194</v>
      </c>
      <c r="F262" s="7" t="s">
        <v>194</v>
      </c>
      <c r="H262" s="7" t="s">
        <v>112</v>
      </c>
      <c r="I262" s="7" t="s">
        <v>213</v>
      </c>
      <c r="J262" s="7" t="s">
        <v>194</v>
      </c>
      <c r="K262" s="21">
        <v>2.8</v>
      </c>
      <c r="L262" s="4">
        <v>1.0</v>
      </c>
      <c r="M262" s="7" t="s">
        <v>44</v>
      </c>
      <c r="N262" s="22">
        <v>0.0</v>
      </c>
      <c r="O262" s="22">
        <f t="shared" si="6"/>
        <v>-1</v>
      </c>
      <c r="P262" s="26">
        <f t="shared" si="5"/>
        <v>218.06</v>
      </c>
      <c r="Q262" s="26">
        <f t="shared" si="1"/>
        <v>-81.95</v>
      </c>
      <c r="R262" s="27">
        <f t="shared" si="2"/>
        <v>-0.2731333333</v>
      </c>
      <c r="S262" s="24" t="s">
        <v>180</v>
      </c>
      <c r="T262" s="24" t="s">
        <v>36</v>
      </c>
      <c r="U262" s="28" t="str">
        <f t="shared" si="3"/>
        <v>Thursday</v>
      </c>
    </row>
    <row r="263">
      <c r="A263" s="7">
        <v>263.0</v>
      </c>
      <c r="B263" s="20">
        <v>45828.0</v>
      </c>
      <c r="D263" s="7" t="s">
        <v>182</v>
      </c>
      <c r="F263" s="7" t="s">
        <v>178</v>
      </c>
      <c r="H263" s="7" t="s">
        <v>52</v>
      </c>
      <c r="I263" s="7" t="s">
        <v>182</v>
      </c>
      <c r="J263" s="7" t="s">
        <v>182</v>
      </c>
      <c r="K263" s="21">
        <v>1.2</v>
      </c>
      <c r="L263" s="4">
        <v>2.0</v>
      </c>
      <c r="M263" s="7" t="s">
        <v>34</v>
      </c>
      <c r="N263" s="22">
        <v>2.4</v>
      </c>
      <c r="O263" s="22">
        <f t="shared" si="6"/>
        <v>0.4</v>
      </c>
      <c r="P263" s="26">
        <f t="shared" si="5"/>
        <v>218.46</v>
      </c>
      <c r="Q263" s="26">
        <f t="shared" si="1"/>
        <v>-81.55</v>
      </c>
      <c r="R263" s="27">
        <f t="shared" si="2"/>
        <v>-0.2718</v>
      </c>
      <c r="S263" s="24" t="s">
        <v>180</v>
      </c>
      <c r="T263" s="24" t="s">
        <v>36</v>
      </c>
      <c r="U263" s="28" t="str">
        <f t="shared" si="3"/>
        <v>Friday</v>
      </c>
    </row>
    <row r="264">
      <c r="A264" s="7">
        <v>264.0</v>
      </c>
      <c r="B264" s="20">
        <v>45828.0</v>
      </c>
      <c r="D264" s="7" t="s">
        <v>183</v>
      </c>
      <c r="F264" s="7" t="s">
        <v>214</v>
      </c>
      <c r="H264" s="7" t="s">
        <v>52</v>
      </c>
      <c r="I264" s="7" t="s">
        <v>183</v>
      </c>
      <c r="J264" s="7" t="s">
        <v>183</v>
      </c>
      <c r="K264" s="21">
        <v>1.3</v>
      </c>
      <c r="L264" s="4">
        <v>2.0</v>
      </c>
      <c r="M264" s="7" t="s">
        <v>44</v>
      </c>
      <c r="N264" s="22">
        <v>0.0</v>
      </c>
      <c r="O264" s="22">
        <f t="shared" si="6"/>
        <v>-2</v>
      </c>
      <c r="P264" s="26">
        <f t="shared" si="5"/>
        <v>216.46</v>
      </c>
      <c r="Q264" s="26">
        <f t="shared" si="1"/>
        <v>-83.55</v>
      </c>
      <c r="R264" s="27">
        <f t="shared" si="2"/>
        <v>-0.2784666667</v>
      </c>
      <c r="S264" s="24" t="s">
        <v>180</v>
      </c>
      <c r="T264" s="24" t="s">
        <v>36</v>
      </c>
      <c r="U264" s="28" t="str">
        <f t="shared" si="3"/>
        <v>Friday</v>
      </c>
    </row>
    <row r="265">
      <c r="A265" s="7">
        <v>265.0</v>
      </c>
      <c r="B265" s="20">
        <v>45828.0</v>
      </c>
      <c r="D265" s="7" t="s">
        <v>181</v>
      </c>
      <c r="F265" s="7" t="s">
        <v>185</v>
      </c>
      <c r="H265" s="7" t="s">
        <v>33</v>
      </c>
      <c r="I265" s="7" t="s">
        <v>181</v>
      </c>
      <c r="J265" s="7" t="s">
        <v>181</v>
      </c>
      <c r="K265" s="21">
        <v>1.3</v>
      </c>
      <c r="L265" s="4">
        <v>2.0</v>
      </c>
      <c r="M265" s="7" t="s">
        <v>34</v>
      </c>
      <c r="N265" s="22">
        <v>2.6</v>
      </c>
      <c r="O265" s="22">
        <f t="shared" si="6"/>
        <v>0.6</v>
      </c>
      <c r="P265" s="26">
        <f t="shared" si="5"/>
        <v>217.06</v>
      </c>
      <c r="Q265" s="26">
        <f t="shared" si="1"/>
        <v>-82.95</v>
      </c>
      <c r="R265" s="27">
        <f t="shared" si="2"/>
        <v>-0.2764666667</v>
      </c>
      <c r="S265" s="24" t="s">
        <v>180</v>
      </c>
      <c r="T265" s="24" t="s">
        <v>36</v>
      </c>
      <c r="U265" s="28" t="str">
        <f t="shared" si="3"/>
        <v>Friday</v>
      </c>
    </row>
    <row r="266">
      <c r="A266" s="7">
        <v>266.0</v>
      </c>
      <c r="B266" s="20">
        <v>45828.0</v>
      </c>
      <c r="D266" s="7" t="s">
        <v>152</v>
      </c>
      <c r="F266" s="7" t="s">
        <v>215</v>
      </c>
      <c r="H266" s="7" t="s">
        <v>33</v>
      </c>
      <c r="I266" s="7" t="s">
        <v>152</v>
      </c>
      <c r="J266" s="21" t="s">
        <v>152</v>
      </c>
      <c r="K266" s="21">
        <v>1.22</v>
      </c>
      <c r="L266" s="4">
        <v>2.0</v>
      </c>
      <c r="M266" s="7" t="s">
        <v>216</v>
      </c>
      <c r="N266" s="22">
        <v>0.0</v>
      </c>
      <c r="O266" s="22">
        <f t="shared" si="6"/>
        <v>-2</v>
      </c>
      <c r="P266" s="26">
        <f t="shared" si="5"/>
        <v>215.06</v>
      </c>
      <c r="Q266" s="26">
        <f t="shared" si="1"/>
        <v>-84.95</v>
      </c>
      <c r="R266" s="27">
        <f t="shared" si="2"/>
        <v>-0.2831333333</v>
      </c>
      <c r="S266" s="24" t="s">
        <v>180</v>
      </c>
      <c r="T266" s="24" t="s">
        <v>36</v>
      </c>
      <c r="U266" s="28" t="str">
        <f t="shared" si="3"/>
        <v>Friday</v>
      </c>
    </row>
    <row r="267">
      <c r="A267" s="7">
        <v>267.0</v>
      </c>
      <c r="B267" s="20">
        <v>45828.0</v>
      </c>
      <c r="D267" s="7" t="s">
        <v>194</v>
      </c>
      <c r="F267" s="7" t="s">
        <v>194</v>
      </c>
      <c r="H267" s="7" t="s">
        <v>112</v>
      </c>
      <c r="I267" s="7" t="s">
        <v>217</v>
      </c>
      <c r="J267" s="7" t="s">
        <v>194</v>
      </c>
      <c r="K267" s="21">
        <v>2.47</v>
      </c>
      <c r="L267" s="4">
        <v>1.0</v>
      </c>
      <c r="M267" s="7" t="s">
        <v>44</v>
      </c>
      <c r="N267" s="22">
        <v>0.0</v>
      </c>
      <c r="O267" s="22">
        <f t="shared" si="6"/>
        <v>-1</v>
      </c>
      <c r="P267" s="26">
        <f t="shared" si="5"/>
        <v>214.06</v>
      </c>
      <c r="Q267" s="26">
        <f t="shared" si="1"/>
        <v>-85.95</v>
      </c>
      <c r="R267" s="27">
        <f t="shared" si="2"/>
        <v>-0.2864666667</v>
      </c>
      <c r="S267" s="24" t="s">
        <v>180</v>
      </c>
      <c r="T267" s="24" t="s">
        <v>36</v>
      </c>
      <c r="U267" s="28" t="str">
        <f t="shared" si="3"/>
        <v>Friday</v>
      </c>
    </row>
    <row r="268">
      <c r="A268" s="7">
        <v>268.0</v>
      </c>
      <c r="B268" s="20">
        <v>45829.0</v>
      </c>
      <c r="D268" s="7" t="s">
        <v>69</v>
      </c>
      <c r="F268" s="7" t="s">
        <v>218</v>
      </c>
      <c r="H268" s="7" t="s">
        <v>52</v>
      </c>
      <c r="I268" s="7" t="s">
        <v>69</v>
      </c>
      <c r="J268" s="21" t="s">
        <v>69</v>
      </c>
      <c r="K268" s="21">
        <v>1.5</v>
      </c>
      <c r="L268" s="4">
        <v>2.0</v>
      </c>
      <c r="M268" s="7" t="s">
        <v>44</v>
      </c>
      <c r="N268" s="22">
        <v>0.0</v>
      </c>
      <c r="O268" s="22">
        <f t="shared" si="6"/>
        <v>-2</v>
      </c>
      <c r="P268" s="26">
        <f t="shared" si="5"/>
        <v>212.06</v>
      </c>
      <c r="Q268" s="26">
        <f t="shared" si="1"/>
        <v>-87.95</v>
      </c>
      <c r="R268" s="27">
        <f t="shared" si="2"/>
        <v>-0.2931333333</v>
      </c>
      <c r="S268" s="24" t="s">
        <v>180</v>
      </c>
      <c r="T268" s="24" t="s">
        <v>36</v>
      </c>
      <c r="U268" s="28" t="str">
        <f t="shared" si="3"/>
        <v>Saturday</v>
      </c>
    </row>
    <row r="269">
      <c r="A269" s="7">
        <v>269.0</v>
      </c>
      <c r="B269" s="20">
        <v>45829.0</v>
      </c>
      <c r="D269" s="7" t="s">
        <v>187</v>
      </c>
      <c r="F269" s="7" t="s">
        <v>193</v>
      </c>
      <c r="H269" s="7" t="s">
        <v>52</v>
      </c>
      <c r="I269" s="7" t="s">
        <v>187</v>
      </c>
      <c r="J269" s="7" t="s">
        <v>187</v>
      </c>
      <c r="K269" s="21">
        <v>1.4</v>
      </c>
      <c r="L269" s="4">
        <v>2.0</v>
      </c>
      <c r="M269" s="7" t="s">
        <v>44</v>
      </c>
      <c r="N269" s="22">
        <v>0.0</v>
      </c>
      <c r="O269" s="22">
        <f t="shared" si="6"/>
        <v>-2</v>
      </c>
      <c r="P269" s="26">
        <f t="shared" si="5"/>
        <v>210.06</v>
      </c>
      <c r="Q269" s="26">
        <f t="shared" si="1"/>
        <v>-89.95</v>
      </c>
      <c r="R269" s="27">
        <f t="shared" si="2"/>
        <v>-0.2998</v>
      </c>
      <c r="S269" s="24" t="s">
        <v>180</v>
      </c>
      <c r="T269" s="24" t="s">
        <v>36</v>
      </c>
      <c r="U269" s="28" t="str">
        <f t="shared" si="3"/>
        <v>Saturday</v>
      </c>
    </row>
    <row r="270">
      <c r="A270" s="7">
        <v>270.0</v>
      </c>
      <c r="B270" s="20">
        <v>45829.0</v>
      </c>
      <c r="D270" s="7" t="s">
        <v>219</v>
      </c>
      <c r="F270" s="7" t="s">
        <v>189</v>
      </c>
      <c r="H270" s="7" t="s">
        <v>33</v>
      </c>
      <c r="I270" s="7" t="s">
        <v>219</v>
      </c>
      <c r="J270" s="21" t="s">
        <v>219</v>
      </c>
      <c r="K270" s="21">
        <v>1.28</v>
      </c>
      <c r="L270" s="4">
        <v>2.0</v>
      </c>
      <c r="M270" s="7" t="s">
        <v>34</v>
      </c>
      <c r="N270" s="22">
        <v>2.58</v>
      </c>
      <c r="O270" s="22">
        <f t="shared" si="6"/>
        <v>0.58</v>
      </c>
      <c r="P270" s="26">
        <f t="shared" si="5"/>
        <v>210.64</v>
      </c>
      <c r="Q270" s="26">
        <f t="shared" si="1"/>
        <v>-89.37</v>
      </c>
      <c r="R270" s="27">
        <f t="shared" si="2"/>
        <v>-0.2978666667</v>
      </c>
      <c r="S270" s="24" t="s">
        <v>180</v>
      </c>
      <c r="T270" s="24" t="s">
        <v>36</v>
      </c>
      <c r="U270" s="28" t="str">
        <f t="shared" si="3"/>
        <v>Saturday</v>
      </c>
    </row>
    <row r="271">
      <c r="A271" s="7">
        <v>271.0</v>
      </c>
      <c r="B271" s="20">
        <v>45829.0</v>
      </c>
      <c r="D271" s="7" t="s">
        <v>194</v>
      </c>
      <c r="F271" s="7" t="s">
        <v>194</v>
      </c>
      <c r="H271" s="7" t="s">
        <v>112</v>
      </c>
      <c r="I271" s="7" t="s">
        <v>220</v>
      </c>
      <c r="J271" s="21" t="s">
        <v>70</v>
      </c>
      <c r="K271" s="21">
        <v>2.7</v>
      </c>
      <c r="L271" s="4">
        <v>1.0</v>
      </c>
      <c r="M271" s="7" t="s">
        <v>44</v>
      </c>
      <c r="N271" s="22">
        <v>0.0</v>
      </c>
      <c r="O271" s="22">
        <f t="shared" si="6"/>
        <v>-1</v>
      </c>
      <c r="P271" s="26">
        <f t="shared" si="5"/>
        <v>209.64</v>
      </c>
      <c r="Q271" s="26">
        <f t="shared" si="1"/>
        <v>-90.37</v>
      </c>
      <c r="R271" s="27">
        <f t="shared" si="2"/>
        <v>-0.3012</v>
      </c>
      <c r="S271" s="24" t="s">
        <v>180</v>
      </c>
      <c r="T271" s="24" t="s">
        <v>36</v>
      </c>
      <c r="U271" s="28" t="str">
        <f t="shared" si="3"/>
        <v>Saturday</v>
      </c>
    </row>
    <row r="272">
      <c r="A272" s="7">
        <v>272.0</v>
      </c>
      <c r="B272" s="20">
        <v>45830.0</v>
      </c>
      <c r="D272" s="7" t="s">
        <v>196</v>
      </c>
      <c r="F272" s="7" t="s">
        <v>201</v>
      </c>
      <c r="H272" s="7" t="s">
        <v>33</v>
      </c>
      <c r="I272" s="7" t="s">
        <v>196</v>
      </c>
      <c r="J272" s="7" t="s">
        <v>196</v>
      </c>
      <c r="K272" s="21">
        <v>1.48</v>
      </c>
      <c r="L272" s="4">
        <v>2.0</v>
      </c>
      <c r="M272" s="7" t="s">
        <v>34</v>
      </c>
      <c r="N272" s="22">
        <v>2.96</v>
      </c>
      <c r="O272" s="22">
        <f t="shared" si="6"/>
        <v>0.96</v>
      </c>
      <c r="P272" s="26">
        <f t="shared" si="5"/>
        <v>210.6</v>
      </c>
      <c r="Q272" s="26">
        <f t="shared" si="1"/>
        <v>-89.41</v>
      </c>
      <c r="R272" s="27">
        <f t="shared" si="2"/>
        <v>-0.298</v>
      </c>
      <c r="S272" s="24" t="s">
        <v>180</v>
      </c>
      <c r="T272" s="24" t="s">
        <v>36</v>
      </c>
      <c r="U272" s="28" t="str">
        <f t="shared" si="3"/>
        <v>Sunday</v>
      </c>
    </row>
    <row r="273">
      <c r="A273" s="7">
        <v>273.0</v>
      </c>
      <c r="B273" s="20">
        <v>45830.0</v>
      </c>
      <c r="D273" s="7" t="s">
        <v>204</v>
      </c>
      <c r="F273" s="7" t="s">
        <v>200</v>
      </c>
      <c r="H273" s="7" t="s">
        <v>33</v>
      </c>
      <c r="I273" s="7" t="s">
        <v>204</v>
      </c>
      <c r="J273" s="7" t="s">
        <v>204</v>
      </c>
      <c r="K273" s="21">
        <v>1.33</v>
      </c>
      <c r="L273" s="4">
        <v>2.0</v>
      </c>
      <c r="M273" s="7" t="s">
        <v>34</v>
      </c>
      <c r="N273" s="22">
        <v>2.67</v>
      </c>
      <c r="O273" s="22">
        <f t="shared" si="6"/>
        <v>0.67</v>
      </c>
      <c r="P273" s="26">
        <f t="shared" si="5"/>
        <v>211.27</v>
      </c>
      <c r="Q273" s="26">
        <f t="shared" si="1"/>
        <v>-88.74</v>
      </c>
      <c r="R273" s="27">
        <f t="shared" si="2"/>
        <v>-0.2957666667</v>
      </c>
      <c r="S273" s="24" t="s">
        <v>180</v>
      </c>
      <c r="T273" s="24" t="s">
        <v>36</v>
      </c>
      <c r="U273" s="28" t="str">
        <f t="shared" si="3"/>
        <v>Sunday</v>
      </c>
    </row>
    <row r="274">
      <c r="A274" s="7">
        <v>274.0</v>
      </c>
      <c r="B274" s="20">
        <v>45830.0</v>
      </c>
      <c r="D274" s="7" t="s">
        <v>197</v>
      </c>
      <c r="F274" s="7" t="s">
        <v>202</v>
      </c>
      <c r="H274" s="7" t="s">
        <v>52</v>
      </c>
      <c r="I274" s="7" t="s">
        <v>197</v>
      </c>
      <c r="J274" s="7" t="s">
        <v>197</v>
      </c>
      <c r="K274" s="21">
        <v>1.2</v>
      </c>
      <c r="L274" s="4">
        <v>2.0</v>
      </c>
      <c r="M274" s="7" t="s">
        <v>34</v>
      </c>
      <c r="N274" s="22">
        <v>2.4</v>
      </c>
      <c r="O274" s="22">
        <f t="shared" si="6"/>
        <v>0.4</v>
      </c>
      <c r="P274" s="26">
        <f t="shared" si="5"/>
        <v>211.67</v>
      </c>
      <c r="Q274" s="26">
        <f t="shared" si="1"/>
        <v>-88.34</v>
      </c>
      <c r="R274" s="27">
        <f t="shared" si="2"/>
        <v>-0.2944333333</v>
      </c>
      <c r="S274" s="24" t="s">
        <v>180</v>
      </c>
      <c r="T274" s="24" t="s">
        <v>36</v>
      </c>
      <c r="U274" s="28" t="str">
        <f t="shared" si="3"/>
        <v>Sunday</v>
      </c>
    </row>
    <row r="275">
      <c r="A275" s="7">
        <v>275.0</v>
      </c>
      <c r="B275" s="20">
        <v>45830.0</v>
      </c>
      <c r="D275" s="7" t="s">
        <v>199</v>
      </c>
      <c r="F275" s="7" t="s">
        <v>221</v>
      </c>
      <c r="H275" s="7" t="s">
        <v>52</v>
      </c>
      <c r="I275" s="7" t="s">
        <v>199</v>
      </c>
      <c r="J275" s="21" t="s">
        <v>199</v>
      </c>
      <c r="K275" s="21">
        <v>1.36</v>
      </c>
      <c r="L275" s="4">
        <v>2.0</v>
      </c>
      <c r="M275" s="7" t="s">
        <v>95</v>
      </c>
      <c r="N275" s="22">
        <v>2.0</v>
      </c>
      <c r="O275" s="22">
        <f t="shared" si="6"/>
        <v>0</v>
      </c>
      <c r="P275" s="26">
        <f t="shared" si="5"/>
        <v>211.67</v>
      </c>
      <c r="Q275" s="26">
        <f t="shared" si="1"/>
        <v>-88.34</v>
      </c>
      <c r="R275" s="27">
        <f t="shared" si="2"/>
        <v>-0.2944333333</v>
      </c>
      <c r="S275" s="24" t="s">
        <v>180</v>
      </c>
      <c r="T275" s="24" t="s">
        <v>36</v>
      </c>
      <c r="U275" s="28" t="str">
        <f t="shared" si="3"/>
        <v>Sunday</v>
      </c>
    </row>
    <row r="276">
      <c r="A276" s="7">
        <v>276.0</v>
      </c>
      <c r="B276" s="20">
        <v>45830.0</v>
      </c>
      <c r="D276" s="7" t="s">
        <v>70</v>
      </c>
      <c r="F276" s="7" t="s">
        <v>70</v>
      </c>
      <c r="H276" s="7" t="s">
        <v>112</v>
      </c>
      <c r="I276" s="7" t="s">
        <v>222</v>
      </c>
      <c r="J276" s="7" t="s">
        <v>70</v>
      </c>
      <c r="K276" s="21">
        <v>3.16</v>
      </c>
      <c r="L276" s="4">
        <v>1.0</v>
      </c>
      <c r="M276" s="7" t="s">
        <v>34</v>
      </c>
      <c r="N276" s="22">
        <v>2.32</v>
      </c>
      <c r="O276" s="22">
        <f t="shared" si="6"/>
        <v>1.32</v>
      </c>
      <c r="P276" s="26">
        <f t="shared" si="5"/>
        <v>212.99</v>
      </c>
      <c r="Q276" s="26">
        <f t="shared" si="1"/>
        <v>-87.02</v>
      </c>
      <c r="R276" s="27">
        <f t="shared" si="2"/>
        <v>-0.2900333333</v>
      </c>
      <c r="S276" s="24" t="s">
        <v>180</v>
      </c>
      <c r="T276" s="24" t="s">
        <v>36</v>
      </c>
      <c r="U276" s="28" t="str">
        <f t="shared" si="3"/>
        <v>Sunday</v>
      </c>
    </row>
    <row r="277">
      <c r="A277" s="7">
        <v>277.0</v>
      </c>
      <c r="B277" s="20">
        <v>45831.0</v>
      </c>
      <c r="D277" s="7" t="s">
        <v>223</v>
      </c>
      <c r="F277" s="7" t="s">
        <v>224</v>
      </c>
      <c r="H277" s="7" t="s">
        <v>33</v>
      </c>
      <c r="I277" s="7" t="s">
        <v>223</v>
      </c>
      <c r="J277" s="7" t="s">
        <v>223</v>
      </c>
      <c r="K277" s="21">
        <v>1.33</v>
      </c>
      <c r="L277" s="4">
        <v>2.0</v>
      </c>
      <c r="M277" s="7" t="s">
        <v>34</v>
      </c>
      <c r="N277" s="22">
        <v>2.67</v>
      </c>
      <c r="O277" s="22">
        <f t="shared" si="6"/>
        <v>0.67</v>
      </c>
      <c r="P277" s="26">
        <f t="shared" si="5"/>
        <v>213.66</v>
      </c>
      <c r="Q277" s="26">
        <f t="shared" si="1"/>
        <v>-86.35</v>
      </c>
      <c r="R277" s="27">
        <f t="shared" si="2"/>
        <v>-0.2878</v>
      </c>
      <c r="S277" s="24" t="s">
        <v>180</v>
      </c>
      <c r="T277" s="24" t="s">
        <v>36</v>
      </c>
      <c r="U277" s="28" t="str">
        <f t="shared" si="3"/>
        <v>Monday</v>
      </c>
    </row>
    <row r="278">
      <c r="A278" s="7">
        <v>278.0</v>
      </c>
      <c r="B278" s="20">
        <v>45831.0</v>
      </c>
      <c r="D278" s="7" t="s">
        <v>206</v>
      </c>
      <c r="F278" s="7" t="s">
        <v>225</v>
      </c>
      <c r="H278" s="7" t="s">
        <v>33</v>
      </c>
      <c r="I278" s="7" t="s">
        <v>208</v>
      </c>
      <c r="J278" s="7" t="s">
        <v>208</v>
      </c>
      <c r="K278" s="21">
        <v>1.33</v>
      </c>
      <c r="L278" s="4">
        <v>2.0</v>
      </c>
      <c r="M278" s="7" t="s">
        <v>34</v>
      </c>
      <c r="N278" s="22">
        <v>2.67</v>
      </c>
      <c r="O278" s="22">
        <f t="shared" si="6"/>
        <v>0.67</v>
      </c>
      <c r="P278" s="26">
        <f t="shared" si="5"/>
        <v>214.33</v>
      </c>
      <c r="Q278" s="26">
        <f t="shared" si="1"/>
        <v>-85.68</v>
      </c>
      <c r="R278" s="27">
        <f t="shared" si="2"/>
        <v>-0.2855666667</v>
      </c>
      <c r="S278" s="24" t="s">
        <v>180</v>
      </c>
      <c r="T278" s="24" t="s">
        <v>36</v>
      </c>
      <c r="U278" s="28" t="str">
        <f t="shared" si="3"/>
        <v>Monday</v>
      </c>
    </row>
    <row r="279">
      <c r="A279" s="7">
        <v>279.0</v>
      </c>
      <c r="B279" s="20">
        <v>45831.0</v>
      </c>
      <c r="D279" s="7" t="s">
        <v>226</v>
      </c>
      <c r="F279" s="7" t="s">
        <v>227</v>
      </c>
      <c r="H279" s="7" t="s">
        <v>52</v>
      </c>
      <c r="I279" s="7" t="s">
        <v>207</v>
      </c>
      <c r="J279" s="7" t="s">
        <v>207</v>
      </c>
      <c r="K279" s="21">
        <v>1.4</v>
      </c>
      <c r="L279" s="4">
        <v>2.0</v>
      </c>
      <c r="M279" s="7" t="s">
        <v>95</v>
      </c>
      <c r="N279" s="22">
        <v>2.0</v>
      </c>
      <c r="O279" s="22">
        <f t="shared" si="6"/>
        <v>0</v>
      </c>
      <c r="P279" s="26">
        <f t="shared" si="5"/>
        <v>214.33</v>
      </c>
      <c r="Q279" s="26">
        <f t="shared" si="1"/>
        <v>-85.68</v>
      </c>
      <c r="R279" s="27">
        <f t="shared" si="2"/>
        <v>-0.2855666667</v>
      </c>
      <c r="S279" s="24" t="s">
        <v>180</v>
      </c>
      <c r="T279" s="24" t="s">
        <v>36</v>
      </c>
      <c r="U279" s="28" t="str">
        <f t="shared" si="3"/>
        <v>Monday</v>
      </c>
    </row>
    <row r="280">
      <c r="A280" s="7">
        <v>280.0</v>
      </c>
      <c r="B280" s="20">
        <v>45831.0</v>
      </c>
      <c r="D280" s="7" t="s">
        <v>99</v>
      </c>
      <c r="F280" s="7" t="s">
        <v>212</v>
      </c>
      <c r="H280" s="7" t="s">
        <v>33</v>
      </c>
      <c r="I280" s="7" t="s">
        <v>53</v>
      </c>
      <c r="J280" s="21" t="s">
        <v>53</v>
      </c>
      <c r="K280" s="21">
        <v>1.11</v>
      </c>
      <c r="L280" s="4">
        <v>2.0</v>
      </c>
      <c r="M280" s="7" t="s">
        <v>34</v>
      </c>
      <c r="N280" s="22">
        <v>2.23</v>
      </c>
      <c r="O280" s="22">
        <f t="shared" si="6"/>
        <v>0.23</v>
      </c>
      <c r="P280" s="26">
        <f t="shared" si="5"/>
        <v>214.56</v>
      </c>
      <c r="Q280" s="26">
        <f t="shared" si="1"/>
        <v>-85.45</v>
      </c>
      <c r="R280" s="27">
        <f t="shared" si="2"/>
        <v>-0.2848</v>
      </c>
      <c r="S280" s="24" t="s">
        <v>180</v>
      </c>
      <c r="T280" s="24" t="s">
        <v>36</v>
      </c>
      <c r="U280" s="28" t="str">
        <f t="shared" si="3"/>
        <v>Monday</v>
      </c>
    </row>
    <row r="281">
      <c r="A281" s="7">
        <v>281.0</v>
      </c>
      <c r="B281" s="20">
        <v>45831.0</v>
      </c>
      <c r="D281" s="7" t="s">
        <v>70</v>
      </c>
      <c r="F281" s="7" t="s">
        <v>70</v>
      </c>
      <c r="H281" s="7" t="s">
        <v>112</v>
      </c>
      <c r="I281" s="7" t="s">
        <v>228</v>
      </c>
      <c r="J281" s="7" t="s">
        <v>70</v>
      </c>
      <c r="K281" s="21">
        <v>2.69</v>
      </c>
      <c r="L281" s="4">
        <v>1.0</v>
      </c>
      <c r="M281" s="7" t="s">
        <v>34</v>
      </c>
      <c r="N281" s="22">
        <v>1.98</v>
      </c>
      <c r="O281" s="22">
        <f t="shared" si="6"/>
        <v>0.98</v>
      </c>
      <c r="P281" s="26">
        <f t="shared" si="5"/>
        <v>215.54</v>
      </c>
      <c r="Q281" s="26">
        <f t="shared" si="1"/>
        <v>-84.47</v>
      </c>
      <c r="R281" s="27">
        <f t="shared" si="2"/>
        <v>-0.2815333333</v>
      </c>
      <c r="S281" s="24" t="s">
        <v>180</v>
      </c>
      <c r="T281" s="24" t="s">
        <v>36</v>
      </c>
      <c r="U281" s="28" t="str">
        <f t="shared" si="3"/>
        <v>Monday</v>
      </c>
    </row>
    <row r="282">
      <c r="A282" s="7">
        <v>282.0</v>
      </c>
      <c r="B282" s="20">
        <v>45832.0</v>
      </c>
      <c r="D282" s="7" t="s">
        <v>229</v>
      </c>
      <c r="F282" s="7" t="s">
        <v>230</v>
      </c>
      <c r="H282" s="7" t="s">
        <v>52</v>
      </c>
      <c r="I282" s="7" t="s">
        <v>152</v>
      </c>
      <c r="J282" s="21" t="s">
        <v>152</v>
      </c>
      <c r="K282" s="21">
        <v>1.04</v>
      </c>
      <c r="L282" s="4">
        <v>2.0</v>
      </c>
      <c r="M282" s="7" t="s">
        <v>34</v>
      </c>
      <c r="N282" s="22">
        <v>2.08</v>
      </c>
      <c r="O282" s="22">
        <f t="shared" si="6"/>
        <v>0.08</v>
      </c>
      <c r="P282" s="26">
        <f t="shared" si="5"/>
        <v>215.62</v>
      </c>
      <c r="Q282" s="26">
        <f t="shared" si="1"/>
        <v>-84.39</v>
      </c>
      <c r="R282" s="27">
        <f t="shared" si="2"/>
        <v>-0.2812666667</v>
      </c>
      <c r="S282" s="24" t="s">
        <v>180</v>
      </c>
      <c r="T282" s="24" t="s">
        <v>36</v>
      </c>
      <c r="U282" s="28" t="str">
        <f t="shared" si="3"/>
        <v>Tuesday</v>
      </c>
    </row>
    <row r="283">
      <c r="A283" s="7">
        <v>283.0</v>
      </c>
      <c r="B283" s="20">
        <v>45832.0</v>
      </c>
      <c r="D283" s="7" t="s">
        <v>181</v>
      </c>
      <c r="F283" s="7" t="s">
        <v>215</v>
      </c>
      <c r="H283" s="7" t="s">
        <v>52</v>
      </c>
      <c r="I283" s="7" t="s">
        <v>181</v>
      </c>
      <c r="J283" s="7" t="s">
        <v>181</v>
      </c>
      <c r="K283" s="21">
        <v>1.25</v>
      </c>
      <c r="L283" s="4">
        <v>2.0</v>
      </c>
      <c r="M283" s="7" t="s">
        <v>34</v>
      </c>
      <c r="N283" s="22">
        <v>2.5</v>
      </c>
      <c r="O283" s="22">
        <f t="shared" si="6"/>
        <v>0.5</v>
      </c>
      <c r="P283" s="26">
        <f t="shared" si="5"/>
        <v>216.12</v>
      </c>
      <c r="Q283" s="26">
        <f t="shared" si="1"/>
        <v>-83.89</v>
      </c>
      <c r="R283" s="27">
        <f t="shared" si="2"/>
        <v>-0.2796</v>
      </c>
      <c r="S283" s="24" t="s">
        <v>180</v>
      </c>
      <c r="T283" s="24" t="s">
        <v>36</v>
      </c>
      <c r="U283" s="28" t="str">
        <f t="shared" si="3"/>
        <v>Tuesday</v>
      </c>
    </row>
    <row r="284">
      <c r="A284" s="7">
        <v>284.0</v>
      </c>
      <c r="B284" s="20">
        <v>45832.0</v>
      </c>
      <c r="D284" s="7" t="s">
        <v>231</v>
      </c>
      <c r="F284" s="7" t="s">
        <v>178</v>
      </c>
      <c r="H284" s="7" t="s">
        <v>52</v>
      </c>
      <c r="I284" s="7" t="s">
        <v>231</v>
      </c>
      <c r="J284" s="21" t="s">
        <v>231</v>
      </c>
      <c r="K284" s="21">
        <v>1.28</v>
      </c>
      <c r="L284" s="4">
        <v>2.0</v>
      </c>
      <c r="M284" s="7" t="s">
        <v>95</v>
      </c>
      <c r="N284" s="22">
        <v>2.0</v>
      </c>
      <c r="O284" s="22">
        <f t="shared" si="6"/>
        <v>0</v>
      </c>
      <c r="P284" s="26">
        <f t="shared" si="5"/>
        <v>216.12</v>
      </c>
      <c r="Q284" s="26">
        <f t="shared" si="1"/>
        <v>-83.89</v>
      </c>
      <c r="R284" s="27">
        <f t="shared" si="2"/>
        <v>-0.2796</v>
      </c>
      <c r="S284" s="24" t="s">
        <v>180</v>
      </c>
      <c r="T284" s="24" t="s">
        <v>36</v>
      </c>
      <c r="U284" s="28" t="str">
        <f t="shared" si="3"/>
        <v>Tuesday</v>
      </c>
    </row>
    <row r="285">
      <c r="A285" s="7">
        <v>285.0</v>
      </c>
      <c r="B285" s="20">
        <v>45832.0</v>
      </c>
      <c r="D285" s="7" t="s">
        <v>232</v>
      </c>
      <c r="F285" s="7" t="s">
        <v>233</v>
      </c>
      <c r="H285" s="7" t="s">
        <v>52</v>
      </c>
      <c r="I285" s="7" t="s">
        <v>232</v>
      </c>
      <c r="J285" s="21" t="s">
        <v>232</v>
      </c>
      <c r="K285" s="21">
        <v>1.36</v>
      </c>
      <c r="L285" s="4">
        <v>2.0</v>
      </c>
      <c r="M285" s="7" t="s">
        <v>95</v>
      </c>
      <c r="N285" s="22">
        <v>2.0</v>
      </c>
      <c r="O285" s="22">
        <f t="shared" si="6"/>
        <v>0</v>
      </c>
      <c r="P285" s="26">
        <f t="shared" si="5"/>
        <v>216.12</v>
      </c>
      <c r="Q285" s="26">
        <f t="shared" si="1"/>
        <v>-83.89</v>
      </c>
      <c r="R285" s="27">
        <f t="shared" si="2"/>
        <v>-0.2796</v>
      </c>
      <c r="S285" s="24" t="s">
        <v>180</v>
      </c>
      <c r="T285" s="24" t="s">
        <v>36</v>
      </c>
      <c r="U285" s="28" t="str">
        <f t="shared" si="3"/>
        <v>Tuesday</v>
      </c>
    </row>
    <row r="286">
      <c r="A286" s="7">
        <v>286.0</v>
      </c>
      <c r="B286" s="20">
        <v>45832.0</v>
      </c>
      <c r="D286" s="7" t="s">
        <v>70</v>
      </c>
      <c r="F286" s="7" t="s">
        <v>70</v>
      </c>
      <c r="H286" s="7" t="s">
        <v>112</v>
      </c>
      <c r="I286" s="7" t="s">
        <v>234</v>
      </c>
      <c r="J286" s="7" t="s">
        <v>70</v>
      </c>
      <c r="K286" s="21">
        <v>2.27</v>
      </c>
      <c r="L286" s="4">
        <v>1.0</v>
      </c>
      <c r="M286" s="7" t="s">
        <v>34</v>
      </c>
      <c r="N286" s="22">
        <v>1.3</v>
      </c>
      <c r="O286" s="22">
        <f t="shared" si="6"/>
        <v>0.3</v>
      </c>
      <c r="P286" s="26">
        <f t="shared" si="5"/>
        <v>216.42</v>
      </c>
      <c r="Q286" s="26">
        <f t="shared" si="1"/>
        <v>-83.59</v>
      </c>
      <c r="R286" s="27">
        <f t="shared" si="2"/>
        <v>-0.2786</v>
      </c>
      <c r="S286" s="24" t="s">
        <v>180</v>
      </c>
      <c r="T286" s="24" t="s">
        <v>36</v>
      </c>
      <c r="U286" s="28" t="str">
        <f t="shared" si="3"/>
        <v>Tuesday</v>
      </c>
    </row>
    <row r="287">
      <c r="A287" s="7">
        <v>287.0</v>
      </c>
      <c r="B287" s="20">
        <v>45833.0</v>
      </c>
      <c r="D287" s="7" t="s">
        <v>219</v>
      </c>
      <c r="F287" s="7" t="s">
        <v>235</v>
      </c>
      <c r="H287" s="7" t="s">
        <v>52</v>
      </c>
      <c r="I287" s="7" t="s">
        <v>219</v>
      </c>
      <c r="J287" s="7" t="s">
        <v>219</v>
      </c>
      <c r="K287" s="21">
        <v>1.36</v>
      </c>
      <c r="L287" s="4">
        <v>2.0</v>
      </c>
      <c r="M287" s="7" t="s">
        <v>44</v>
      </c>
      <c r="N287" s="22">
        <v>0.0</v>
      </c>
      <c r="O287" s="22">
        <f t="shared" si="6"/>
        <v>-2</v>
      </c>
      <c r="P287" s="26">
        <f t="shared" si="5"/>
        <v>214.42</v>
      </c>
      <c r="Q287" s="26">
        <f t="shared" si="1"/>
        <v>-85.59</v>
      </c>
      <c r="R287" s="27">
        <f t="shared" si="2"/>
        <v>-0.2852666667</v>
      </c>
      <c r="S287" s="24" t="s">
        <v>180</v>
      </c>
      <c r="T287" s="24" t="s">
        <v>36</v>
      </c>
      <c r="U287" s="28" t="str">
        <f t="shared" si="3"/>
        <v>Wednesday</v>
      </c>
    </row>
    <row r="288">
      <c r="A288" s="7">
        <v>288.0</v>
      </c>
      <c r="B288" s="20">
        <v>45833.0</v>
      </c>
      <c r="D288" s="7" t="s">
        <v>69</v>
      </c>
      <c r="F288" s="7" t="s">
        <v>193</v>
      </c>
      <c r="H288" s="7" t="s">
        <v>52</v>
      </c>
      <c r="I288" s="7" t="s">
        <v>69</v>
      </c>
      <c r="J288" s="7" t="s">
        <v>69</v>
      </c>
      <c r="K288" s="21">
        <v>1.071</v>
      </c>
      <c r="L288" s="4">
        <v>2.0</v>
      </c>
      <c r="M288" s="7" t="s">
        <v>34</v>
      </c>
      <c r="N288" s="22">
        <v>2.15</v>
      </c>
      <c r="O288" s="22">
        <f t="shared" si="6"/>
        <v>0.15</v>
      </c>
      <c r="P288" s="26">
        <f t="shared" si="5"/>
        <v>214.57</v>
      </c>
      <c r="Q288" s="26">
        <f t="shared" si="1"/>
        <v>-85.44</v>
      </c>
      <c r="R288" s="27">
        <f t="shared" si="2"/>
        <v>-0.2847666667</v>
      </c>
      <c r="S288" s="24" t="s">
        <v>180</v>
      </c>
      <c r="T288" s="24" t="s">
        <v>36</v>
      </c>
      <c r="U288" s="28" t="str">
        <f t="shared" si="3"/>
        <v>Wednesday</v>
      </c>
    </row>
    <row r="289">
      <c r="A289" s="7">
        <v>289.0</v>
      </c>
      <c r="B289" s="20">
        <v>45833.0</v>
      </c>
      <c r="D289" s="7" t="s">
        <v>192</v>
      </c>
      <c r="F289" s="7" t="s">
        <v>187</v>
      </c>
      <c r="H289" s="7" t="s">
        <v>52</v>
      </c>
      <c r="I289" s="7" t="s">
        <v>192</v>
      </c>
      <c r="J289" s="7" t="s">
        <v>192</v>
      </c>
      <c r="K289" s="21">
        <v>1.28</v>
      </c>
      <c r="L289" s="4">
        <v>2.0</v>
      </c>
      <c r="M289" s="7" t="s">
        <v>95</v>
      </c>
      <c r="N289" s="22">
        <v>2.0</v>
      </c>
      <c r="O289" s="22">
        <f t="shared" si="6"/>
        <v>0</v>
      </c>
      <c r="P289" s="26">
        <f t="shared" si="5"/>
        <v>214.57</v>
      </c>
      <c r="Q289" s="26">
        <f t="shared" si="1"/>
        <v>-85.44</v>
      </c>
      <c r="R289" s="27">
        <f t="shared" si="2"/>
        <v>-0.2847666667</v>
      </c>
      <c r="S289" s="24" t="s">
        <v>180</v>
      </c>
      <c r="T289" s="24" t="s">
        <v>36</v>
      </c>
      <c r="U289" s="28" t="str">
        <f t="shared" si="3"/>
        <v>Wednesday</v>
      </c>
    </row>
    <row r="290">
      <c r="A290" s="7">
        <v>290.0</v>
      </c>
      <c r="B290" s="20">
        <v>45833.0</v>
      </c>
      <c r="D290" s="7" t="s">
        <v>70</v>
      </c>
      <c r="F290" s="7" t="s">
        <v>70</v>
      </c>
      <c r="H290" s="7" t="s">
        <v>112</v>
      </c>
      <c r="I290" s="7" t="s">
        <v>70</v>
      </c>
      <c r="J290" s="7" t="s">
        <v>70</v>
      </c>
      <c r="K290" s="21">
        <v>1.87</v>
      </c>
      <c r="L290" s="4">
        <v>1.0</v>
      </c>
      <c r="M290" s="7" t="s">
        <v>44</v>
      </c>
      <c r="N290" s="22">
        <v>0.0</v>
      </c>
      <c r="O290" s="22">
        <f t="shared" si="6"/>
        <v>-1</v>
      </c>
      <c r="P290" s="26">
        <f t="shared" si="5"/>
        <v>213.57</v>
      </c>
      <c r="Q290" s="26">
        <f t="shared" si="1"/>
        <v>-86.44</v>
      </c>
      <c r="R290" s="27">
        <f t="shared" si="2"/>
        <v>-0.2881</v>
      </c>
      <c r="S290" s="24" t="s">
        <v>180</v>
      </c>
      <c r="T290" s="24" t="s">
        <v>36</v>
      </c>
      <c r="U290" s="28" t="str">
        <f t="shared" si="3"/>
        <v>Wednesday</v>
      </c>
    </row>
    <row r="291">
      <c r="A291" s="7">
        <v>291.0</v>
      </c>
      <c r="B291" s="20">
        <v>45834.0</v>
      </c>
      <c r="D291" s="7" t="s">
        <v>196</v>
      </c>
      <c r="F291" s="7" t="s">
        <v>202</v>
      </c>
      <c r="H291" s="7" t="s">
        <v>52</v>
      </c>
      <c r="I291" s="7" t="s">
        <v>196</v>
      </c>
      <c r="J291" s="7" t="s">
        <v>196</v>
      </c>
      <c r="K291" s="21">
        <v>1.062</v>
      </c>
      <c r="L291" s="4">
        <v>2.0</v>
      </c>
      <c r="M291" s="7" t="s">
        <v>34</v>
      </c>
      <c r="N291" s="22">
        <v>2.13</v>
      </c>
      <c r="O291" s="22">
        <f t="shared" si="6"/>
        <v>0.13</v>
      </c>
      <c r="P291" s="26">
        <f t="shared" si="5"/>
        <v>213.7</v>
      </c>
      <c r="Q291" s="26">
        <f t="shared" si="1"/>
        <v>-86.31</v>
      </c>
      <c r="R291" s="27">
        <f t="shared" si="2"/>
        <v>-0.2876666667</v>
      </c>
      <c r="S291" s="24" t="s">
        <v>180</v>
      </c>
      <c r="T291" s="24" t="s">
        <v>36</v>
      </c>
      <c r="U291" s="28" t="str">
        <f t="shared" si="3"/>
        <v>Thursday</v>
      </c>
    </row>
    <row r="292">
      <c r="A292" s="7">
        <v>292.0</v>
      </c>
      <c r="B292" s="20">
        <v>45834.0</v>
      </c>
      <c r="D292" s="7" t="s">
        <v>197</v>
      </c>
      <c r="F292" s="7" t="s">
        <v>201</v>
      </c>
      <c r="H292" s="7" t="s">
        <v>52</v>
      </c>
      <c r="I292" s="7" t="s">
        <v>197</v>
      </c>
      <c r="J292" s="7" t="s">
        <v>197</v>
      </c>
      <c r="K292" s="21">
        <v>1.44</v>
      </c>
      <c r="L292" s="4">
        <v>2.0</v>
      </c>
      <c r="M292" s="7" t="s">
        <v>95</v>
      </c>
      <c r="N292" s="22">
        <v>2.0</v>
      </c>
      <c r="O292" s="22">
        <f t="shared" si="6"/>
        <v>0</v>
      </c>
      <c r="P292" s="26">
        <f t="shared" si="5"/>
        <v>213.7</v>
      </c>
      <c r="Q292" s="26">
        <f t="shared" si="1"/>
        <v>-86.31</v>
      </c>
      <c r="R292" s="27">
        <f t="shared" si="2"/>
        <v>-0.2876666667</v>
      </c>
      <c r="S292" s="24" t="s">
        <v>180</v>
      </c>
      <c r="T292" s="24" t="s">
        <v>36</v>
      </c>
      <c r="U292" s="28" t="str">
        <f t="shared" si="3"/>
        <v>Thursday</v>
      </c>
    </row>
    <row r="293">
      <c r="A293" s="7">
        <v>293.0</v>
      </c>
      <c r="B293" s="20">
        <v>45834.0</v>
      </c>
      <c r="D293" s="7" t="s">
        <v>204</v>
      </c>
      <c r="F293" s="7" t="s">
        <v>199</v>
      </c>
      <c r="H293" s="7" t="s">
        <v>52</v>
      </c>
      <c r="I293" s="7" t="s">
        <v>204</v>
      </c>
      <c r="J293" s="7" t="s">
        <v>204</v>
      </c>
      <c r="K293" s="21">
        <v>1.5</v>
      </c>
      <c r="L293" s="4">
        <v>2.0</v>
      </c>
      <c r="M293" s="7" t="s">
        <v>34</v>
      </c>
      <c r="N293" s="22">
        <v>3.0</v>
      </c>
      <c r="O293" s="22">
        <f t="shared" si="6"/>
        <v>1</v>
      </c>
      <c r="P293" s="26">
        <f t="shared" si="5"/>
        <v>214.7</v>
      </c>
      <c r="Q293" s="26">
        <f t="shared" si="1"/>
        <v>-85.31</v>
      </c>
      <c r="R293" s="27">
        <f t="shared" si="2"/>
        <v>-0.2843333333</v>
      </c>
      <c r="S293" s="24" t="s">
        <v>180</v>
      </c>
      <c r="T293" s="24" t="s">
        <v>36</v>
      </c>
      <c r="U293" s="28" t="str">
        <f t="shared" si="3"/>
        <v>Thursday</v>
      </c>
    </row>
    <row r="294">
      <c r="A294" s="7">
        <v>294.0</v>
      </c>
      <c r="B294" s="20">
        <v>45834.0</v>
      </c>
      <c r="D294" s="7" t="s">
        <v>221</v>
      </c>
      <c r="F294" s="7" t="s">
        <v>200</v>
      </c>
      <c r="H294" s="7" t="s">
        <v>52</v>
      </c>
      <c r="I294" s="7" t="s">
        <v>221</v>
      </c>
      <c r="J294" s="7" t="s">
        <v>221</v>
      </c>
      <c r="K294" s="21">
        <v>1.28</v>
      </c>
      <c r="L294" s="4">
        <v>2.0</v>
      </c>
      <c r="M294" s="7" t="s">
        <v>34</v>
      </c>
      <c r="N294" s="22">
        <v>2.58</v>
      </c>
      <c r="O294" s="22">
        <f t="shared" si="6"/>
        <v>0.58</v>
      </c>
      <c r="P294" s="26">
        <f t="shared" si="5"/>
        <v>215.28</v>
      </c>
      <c r="Q294" s="26">
        <f t="shared" si="1"/>
        <v>-84.73</v>
      </c>
      <c r="R294" s="27">
        <f t="shared" si="2"/>
        <v>-0.2824</v>
      </c>
      <c r="S294" s="24" t="s">
        <v>180</v>
      </c>
      <c r="T294" s="24" t="s">
        <v>36</v>
      </c>
      <c r="U294" s="28" t="str">
        <f t="shared" si="3"/>
        <v>Thursday</v>
      </c>
    </row>
    <row r="295">
      <c r="A295" s="7">
        <v>295.0</v>
      </c>
      <c r="B295" s="20">
        <v>45834.0</v>
      </c>
      <c r="D295" s="7" t="s">
        <v>70</v>
      </c>
      <c r="F295" s="7" t="s">
        <v>70</v>
      </c>
      <c r="H295" s="7" t="s">
        <v>112</v>
      </c>
      <c r="I295" s="7" t="s">
        <v>70</v>
      </c>
      <c r="J295" s="7" t="s">
        <v>70</v>
      </c>
      <c r="K295" s="21">
        <v>2.95</v>
      </c>
      <c r="L295" s="4">
        <v>1.0</v>
      </c>
      <c r="M295" s="7" t="s">
        <v>34</v>
      </c>
      <c r="N295" s="22">
        <v>2.05</v>
      </c>
      <c r="O295" s="22">
        <f t="shared" si="6"/>
        <v>1.05</v>
      </c>
      <c r="P295" s="26">
        <f t="shared" si="5"/>
        <v>216.33</v>
      </c>
      <c r="Q295" s="26">
        <f t="shared" si="1"/>
        <v>-83.68</v>
      </c>
      <c r="R295" s="27">
        <f t="shared" si="2"/>
        <v>-0.2789</v>
      </c>
      <c r="S295" s="24" t="s">
        <v>180</v>
      </c>
      <c r="T295" s="24" t="s">
        <v>36</v>
      </c>
      <c r="U295" s="28" t="str">
        <f t="shared" si="3"/>
        <v>Thursday</v>
      </c>
    </row>
    <row r="296">
      <c r="A296" s="7">
        <v>296.0</v>
      </c>
      <c r="B296" s="20">
        <v>45835.0</v>
      </c>
      <c r="D296" s="7" t="s">
        <v>99</v>
      </c>
      <c r="F296" s="7" t="s">
        <v>223</v>
      </c>
      <c r="H296" s="7" t="s">
        <v>52</v>
      </c>
      <c r="I296" s="7" t="s">
        <v>99</v>
      </c>
      <c r="J296" s="7" t="s">
        <v>99</v>
      </c>
      <c r="K296" s="21">
        <v>1.3</v>
      </c>
      <c r="L296" s="4">
        <v>2.0</v>
      </c>
      <c r="M296" s="7" t="s">
        <v>34</v>
      </c>
      <c r="N296" s="22">
        <v>2.6</v>
      </c>
      <c r="O296" s="22">
        <f t="shared" si="6"/>
        <v>0.6</v>
      </c>
      <c r="P296" s="26">
        <f t="shared" si="5"/>
        <v>216.93</v>
      </c>
      <c r="Q296" s="26">
        <f t="shared" si="1"/>
        <v>-83.08</v>
      </c>
      <c r="R296" s="27">
        <f t="shared" si="2"/>
        <v>-0.2769</v>
      </c>
      <c r="S296" s="24" t="s">
        <v>180</v>
      </c>
      <c r="T296" s="24" t="s">
        <v>36</v>
      </c>
      <c r="U296" s="28" t="str">
        <f t="shared" si="3"/>
        <v>Friday</v>
      </c>
    </row>
    <row r="297">
      <c r="A297" s="7">
        <v>297.0</v>
      </c>
      <c r="B297" s="20">
        <v>45835.0</v>
      </c>
      <c r="D297" s="7" t="s">
        <v>224</v>
      </c>
      <c r="F297" s="7" t="s">
        <v>212</v>
      </c>
      <c r="H297" s="7" t="s">
        <v>52</v>
      </c>
      <c r="I297" s="7" t="s">
        <v>224</v>
      </c>
      <c r="J297" s="7" t="s">
        <v>224</v>
      </c>
      <c r="K297" s="21">
        <v>1.72</v>
      </c>
      <c r="L297" s="4">
        <v>2.0</v>
      </c>
      <c r="M297" s="7" t="s">
        <v>44</v>
      </c>
      <c r="N297" s="22">
        <v>0.0</v>
      </c>
      <c r="O297" s="22">
        <f t="shared" si="6"/>
        <v>-2</v>
      </c>
      <c r="P297" s="26">
        <f t="shared" si="5"/>
        <v>214.93</v>
      </c>
      <c r="Q297" s="26">
        <f t="shared" si="1"/>
        <v>-85.08</v>
      </c>
      <c r="R297" s="27">
        <f t="shared" si="2"/>
        <v>-0.2835666667</v>
      </c>
      <c r="S297" s="24" t="s">
        <v>180</v>
      </c>
      <c r="T297" s="24" t="s">
        <v>36</v>
      </c>
      <c r="U297" s="28" t="str">
        <f t="shared" si="3"/>
        <v>Friday</v>
      </c>
    </row>
    <row r="298">
      <c r="A298" s="7">
        <v>298.0</v>
      </c>
      <c r="B298" s="20">
        <v>45835.0</v>
      </c>
      <c r="D298" s="7" t="s">
        <v>207</v>
      </c>
      <c r="F298" s="7" t="s">
        <v>210</v>
      </c>
      <c r="H298" s="7" t="s">
        <v>52</v>
      </c>
      <c r="I298" s="7" t="s">
        <v>207</v>
      </c>
      <c r="J298" s="7" t="s">
        <v>207</v>
      </c>
      <c r="K298" s="21">
        <v>1.25</v>
      </c>
      <c r="L298" s="4">
        <v>2.0</v>
      </c>
      <c r="M298" s="7" t="s">
        <v>34</v>
      </c>
      <c r="N298" s="22">
        <v>2.5</v>
      </c>
      <c r="O298" s="22">
        <f t="shared" si="6"/>
        <v>0.5</v>
      </c>
      <c r="P298" s="26">
        <f t="shared" si="5"/>
        <v>215.43</v>
      </c>
      <c r="Q298" s="26">
        <f t="shared" si="1"/>
        <v>-84.58</v>
      </c>
      <c r="R298" s="27">
        <f t="shared" si="2"/>
        <v>-0.2819</v>
      </c>
      <c r="S298" s="24" t="s">
        <v>180</v>
      </c>
      <c r="T298" s="24" t="s">
        <v>36</v>
      </c>
      <c r="U298" s="28" t="str">
        <f t="shared" si="3"/>
        <v>Friday</v>
      </c>
    </row>
    <row r="299">
      <c r="A299" s="7">
        <v>299.0</v>
      </c>
      <c r="B299" s="20">
        <v>45835.0</v>
      </c>
      <c r="D299" s="7" t="s">
        <v>206</v>
      </c>
      <c r="F299" s="7" t="s">
        <v>209</v>
      </c>
      <c r="H299" s="7" t="s">
        <v>52</v>
      </c>
      <c r="I299" s="7" t="s">
        <v>206</v>
      </c>
      <c r="J299" s="7" t="s">
        <v>206</v>
      </c>
      <c r="K299" s="21">
        <v>1.1</v>
      </c>
      <c r="L299" s="4">
        <v>2.0</v>
      </c>
      <c r="M299" s="7" t="s">
        <v>34</v>
      </c>
      <c r="N299" s="22">
        <v>2.2</v>
      </c>
      <c r="O299" s="22">
        <f t="shared" si="6"/>
        <v>0.2</v>
      </c>
      <c r="P299" s="26">
        <f t="shared" si="5"/>
        <v>215.63</v>
      </c>
      <c r="Q299" s="26">
        <f t="shared" si="1"/>
        <v>-84.38</v>
      </c>
      <c r="R299" s="27">
        <f t="shared" si="2"/>
        <v>-0.2812333333</v>
      </c>
      <c r="S299" s="24" t="s">
        <v>180</v>
      </c>
      <c r="T299" s="24" t="s">
        <v>36</v>
      </c>
      <c r="U299" s="28" t="str">
        <f t="shared" si="3"/>
        <v>Friday</v>
      </c>
    </row>
    <row r="300">
      <c r="A300" s="7">
        <v>300.0</v>
      </c>
      <c r="B300" s="20">
        <v>45835.0</v>
      </c>
      <c r="D300" s="7" t="s">
        <v>70</v>
      </c>
      <c r="F300" s="7" t="s">
        <v>70</v>
      </c>
      <c r="H300" s="7" t="s">
        <v>112</v>
      </c>
      <c r="I300" s="7" t="s">
        <v>70</v>
      </c>
      <c r="J300" s="7" t="s">
        <v>70</v>
      </c>
      <c r="K300" s="21">
        <v>3.08</v>
      </c>
      <c r="L300" s="4">
        <v>1.0</v>
      </c>
      <c r="M300" s="7" t="s">
        <v>44</v>
      </c>
      <c r="N300" s="22">
        <v>0.0</v>
      </c>
      <c r="O300" s="22">
        <f t="shared" si="6"/>
        <v>-1</v>
      </c>
      <c r="P300" s="26">
        <f t="shared" si="5"/>
        <v>214.63</v>
      </c>
      <c r="Q300" s="26">
        <f t="shared" si="1"/>
        <v>-85.38</v>
      </c>
      <c r="R300" s="27">
        <f t="shared" si="2"/>
        <v>-0.2845666667</v>
      </c>
      <c r="S300" s="24" t="s">
        <v>180</v>
      </c>
      <c r="T300" s="24" t="s">
        <v>36</v>
      </c>
      <c r="U300" s="28" t="str">
        <f t="shared" si="3"/>
        <v>Friday</v>
      </c>
    </row>
    <row r="301">
      <c r="A301" s="7">
        <v>301.0</v>
      </c>
      <c r="B301" s="20">
        <v>45836.0</v>
      </c>
      <c r="D301" s="7" t="s">
        <v>182</v>
      </c>
      <c r="F301" s="7" t="s">
        <v>236</v>
      </c>
      <c r="H301" s="7" t="s">
        <v>148</v>
      </c>
      <c r="I301" s="7" t="s">
        <v>182</v>
      </c>
      <c r="J301" s="7" t="s">
        <v>182</v>
      </c>
      <c r="K301" s="21">
        <v>1.61</v>
      </c>
      <c r="L301" s="4">
        <v>3.0</v>
      </c>
      <c r="M301" s="7" t="s">
        <v>34</v>
      </c>
      <c r="N301" s="22">
        <v>4.85</v>
      </c>
      <c r="O301" s="22">
        <f t="shared" si="6"/>
        <v>1.85</v>
      </c>
      <c r="P301" s="26">
        <f t="shared" si="5"/>
        <v>216.48</v>
      </c>
      <c r="Q301" s="26">
        <f t="shared" si="1"/>
        <v>-83.53</v>
      </c>
      <c r="R301" s="27">
        <f t="shared" si="2"/>
        <v>-0.2784</v>
      </c>
      <c r="S301" s="24" t="s">
        <v>180</v>
      </c>
      <c r="T301" s="24" t="s">
        <v>36</v>
      </c>
      <c r="U301" s="28" t="str">
        <f t="shared" si="3"/>
        <v>Saturday</v>
      </c>
    </row>
    <row r="302">
      <c r="A302" s="7">
        <v>302.0</v>
      </c>
      <c r="B302" s="20">
        <v>45836.0</v>
      </c>
      <c r="D302" s="7" t="s">
        <v>69</v>
      </c>
      <c r="F302" s="7" t="s">
        <v>188</v>
      </c>
      <c r="H302" s="7" t="s">
        <v>148</v>
      </c>
      <c r="I302" s="7" t="s">
        <v>69</v>
      </c>
      <c r="J302" s="7" t="s">
        <v>69</v>
      </c>
      <c r="K302" s="21">
        <v>1.57</v>
      </c>
      <c r="L302" s="4">
        <v>3.0</v>
      </c>
      <c r="M302" s="7" t="s">
        <v>34</v>
      </c>
      <c r="N302" s="22">
        <v>4.72</v>
      </c>
      <c r="O302" s="22">
        <f t="shared" si="6"/>
        <v>1.72</v>
      </c>
      <c r="P302" s="26">
        <f t="shared" si="5"/>
        <v>218.2</v>
      </c>
      <c r="Q302" s="26">
        <f t="shared" si="1"/>
        <v>-81.81</v>
      </c>
      <c r="R302" s="27">
        <f t="shared" si="2"/>
        <v>-0.2726666667</v>
      </c>
      <c r="S302" s="24" t="s">
        <v>180</v>
      </c>
      <c r="T302" s="24" t="s">
        <v>36</v>
      </c>
      <c r="U302" s="28" t="str">
        <f t="shared" si="3"/>
        <v>Saturday</v>
      </c>
    </row>
    <row r="303">
      <c r="A303" s="7">
        <v>303.0</v>
      </c>
      <c r="B303" s="20">
        <v>45836.0</v>
      </c>
      <c r="D303" s="7" t="s">
        <v>70</v>
      </c>
      <c r="F303" s="7" t="s">
        <v>70</v>
      </c>
      <c r="H303" s="7" t="s">
        <v>112</v>
      </c>
      <c r="I303" s="7" t="s">
        <v>237</v>
      </c>
      <c r="J303" s="7" t="s">
        <v>70</v>
      </c>
      <c r="K303" s="21">
        <v>2.535</v>
      </c>
      <c r="L303" s="4">
        <v>2.0</v>
      </c>
      <c r="M303" s="7" t="s">
        <v>34</v>
      </c>
      <c r="N303" s="22">
        <v>5.08</v>
      </c>
      <c r="O303" s="22">
        <f t="shared" si="6"/>
        <v>3.08</v>
      </c>
      <c r="P303" s="26">
        <f t="shared" si="5"/>
        <v>221.28</v>
      </c>
      <c r="Q303" s="26">
        <f t="shared" si="1"/>
        <v>-78.73</v>
      </c>
      <c r="R303" s="27">
        <f t="shared" si="2"/>
        <v>-0.2624</v>
      </c>
      <c r="S303" s="24" t="s">
        <v>180</v>
      </c>
      <c r="T303" s="24" t="s">
        <v>36</v>
      </c>
      <c r="U303" s="28" t="str">
        <f t="shared" si="3"/>
        <v>Saturday</v>
      </c>
    </row>
    <row r="304">
      <c r="A304" s="7">
        <v>304.0</v>
      </c>
      <c r="B304" s="20">
        <v>45837.0</v>
      </c>
      <c r="D304" s="7" t="s">
        <v>152</v>
      </c>
      <c r="F304" s="7" t="s">
        <v>177</v>
      </c>
      <c r="H304" s="7" t="s">
        <v>148</v>
      </c>
      <c r="I304" s="7" t="s">
        <v>152</v>
      </c>
      <c r="J304" s="7" t="s">
        <v>152</v>
      </c>
      <c r="K304" s="21">
        <v>1.1</v>
      </c>
      <c r="L304" s="4">
        <v>3.0</v>
      </c>
      <c r="M304" s="7" t="s">
        <v>34</v>
      </c>
      <c r="N304" s="22">
        <v>3.3</v>
      </c>
      <c r="O304" s="22">
        <f t="shared" si="6"/>
        <v>0.3</v>
      </c>
      <c r="P304" s="26">
        <f t="shared" si="5"/>
        <v>221.58</v>
      </c>
      <c r="Q304" s="26">
        <f t="shared" si="1"/>
        <v>-78.43</v>
      </c>
      <c r="R304" s="27">
        <f t="shared" si="2"/>
        <v>-0.2614</v>
      </c>
      <c r="S304" s="24" t="s">
        <v>180</v>
      </c>
      <c r="T304" s="24" t="s">
        <v>36</v>
      </c>
      <c r="U304" s="28" t="str">
        <f t="shared" si="3"/>
        <v>Sunday</v>
      </c>
    </row>
    <row r="305">
      <c r="A305" s="7">
        <v>305.0</v>
      </c>
      <c r="B305" s="20">
        <v>45837.0</v>
      </c>
      <c r="D305" s="7" t="s">
        <v>219</v>
      </c>
      <c r="F305" s="7" t="s">
        <v>218</v>
      </c>
      <c r="H305" s="7" t="s">
        <v>148</v>
      </c>
      <c r="I305" s="7" t="s">
        <v>219</v>
      </c>
      <c r="J305" s="7" t="s">
        <v>219</v>
      </c>
      <c r="K305" s="21">
        <v>1.33</v>
      </c>
      <c r="L305" s="4">
        <v>3.0</v>
      </c>
      <c r="M305" s="7" t="s">
        <v>34</v>
      </c>
      <c r="N305" s="22">
        <v>4.0</v>
      </c>
      <c r="O305" s="22">
        <f t="shared" si="6"/>
        <v>1</v>
      </c>
      <c r="P305" s="26">
        <f t="shared" si="5"/>
        <v>222.58</v>
      </c>
      <c r="Q305" s="26">
        <f t="shared" si="1"/>
        <v>-77.43</v>
      </c>
      <c r="R305" s="27">
        <f t="shared" si="2"/>
        <v>-0.2580666667</v>
      </c>
      <c r="S305" s="24" t="s">
        <v>180</v>
      </c>
      <c r="T305" s="24" t="s">
        <v>36</v>
      </c>
      <c r="U305" s="28" t="str">
        <f t="shared" si="3"/>
        <v>Sunday</v>
      </c>
    </row>
    <row r="306">
      <c r="A306" s="7">
        <v>306.0</v>
      </c>
      <c r="B306" s="20">
        <v>45837.0</v>
      </c>
      <c r="D306" s="7" t="s">
        <v>70</v>
      </c>
      <c r="F306" s="7" t="s">
        <v>70</v>
      </c>
      <c r="H306" s="7" t="s">
        <v>112</v>
      </c>
      <c r="I306" s="7" t="s">
        <v>238</v>
      </c>
      <c r="J306" s="7" t="s">
        <v>70</v>
      </c>
      <c r="K306" s="21">
        <v>1.465</v>
      </c>
      <c r="L306" s="4">
        <v>2.0</v>
      </c>
      <c r="M306" s="7" t="s">
        <v>34</v>
      </c>
      <c r="N306" s="22">
        <v>2.94</v>
      </c>
      <c r="O306" s="22">
        <f t="shared" si="6"/>
        <v>0.94</v>
      </c>
      <c r="P306" s="26">
        <f t="shared" si="5"/>
        <v>223.52</v>
      </c>
      <c r="Q306" s="26">
        <f t="shared" si="1"/>
        <v>-76.49</v>
      </c>
      <c r="R306" s="27">
        <f t="shared" si="2"/>
        <v>-0.2549333333</v>
      </c>
      <c r="S306" s="24" t="s">
        <v>180</v>
      </c>
      <c r="T306" s="24" t="s">
        <v>36</v>
      </c>
      <c r="U306" s="28" t="str">
        <f t="shared" si="3"/>
        <v>Sunday</v>
      </c>
    </row>
    <row r="307">
      <c r="A307" s="7">
        <v>307.0</v>
      </c>
      <c r="B307" s="20">
        <v>45838.0</v>
      </c>
      <c r="D307" s="7" t="s">
        <v>204</v>
      </c>
      <c r="F307" s="7" t="s">
        <v>197</v>
      </c>
      <c r="H307" s="7" t="s">
        <v>148</v>
      </c>
      <c r="I307" s="7" t="s">
        <v>204</v>
      </c>
      <c r="J307" s="7" t="s">
        <v>204</v>
      </c>
      <c r="K307" s="21">
        <v>1.33</v>
      </c>
      <c r="L307" s="4">
        <v>3.0</v>
      </c>
      <c r="M307" s="7" t="s">
        <v>44</v>
      </c>
      <c r="N307" s="22">
        <v>0.0</v>
      </c>
      <c r="O307" s="22">
        <f t="shared" si="6"/>
        <v>-3</v>
      </c>
      <c r="P307" s="26">
        <f t="shared" si="5"/>
        <v>220.52</v>
      </c>
      <c r="Q307" s="26">
        <f t="shared" si="1"/>
        <v>-79.49</v>
      </c>
      <c r="R307" s="27">
        <f t="shared" si="2"/>
        <v>-0.2649333333</v>
      </c>
      <c r="S307" s="24" t="s">
        <v>180</v>
      </c>
      <c r="T307" s="24" t="s">
        <v>36</v>
      </c>
      <c r="U307" s="28" t="str">
        <f t="shared" si="3"/>
        <v>Monday</v>
      </c>
    </row>
    <row r="308">
      <c r="A308" s="7">
        <v>308.0</v>
      </c>
      <c r="B308" s="20">
        <v>45838.0</v>
      </c>
      <c r="D308" s="7" t="s">
        <v>53</v>
      </c>
      <c r="F308" s="7" t="s">
        <v>207</v>
      </c>
      <c r="H308" s="7" t="s">
        <v>148</v>
      </c>
      <c r="I308" s="7" t="s">
        <v>53</v>
      </c>
      <c r="J308" s="7" t="s">
        <v>53</v>
      </c>
      <c r="K308" s="21">
        <v>1.16</v>
      </c>
      <c r="L308" s="4">
        <v>3.0</v>
      </c>
      <c r="M308" s="7" t="s">
        <v>44</v>
      </c>
      <c r="N308" s="22">
        <v>0.0</v>
      </c>
      <c r="O308" s="22">
        <f t="shared" si="6"/>
        <v>-3</v>
      </c>
      <c r="P308" s="26">
        <f t="shared" si="5"/>
        <v>217.52</v>
      </c>
      <c r="Q308" s="26">
        <f t="shared" si="1"/>
        <v>-82.49</v>
      </c>
      <c r="R308" s="27">
        <f t="shared" si="2"/>
        <v>-0.2749333333</v>
      </c>
      <c r="S308" s="24" t="s">
        <v>180</v>
      </c>
      <c r="T308" s="24" t="s">
        <v>36</v>
      </c>
      <c r="U308" s="28" t="str">
        <f t="shared" si="3"/>
        <v>Monday</v>
      </c>
    </row>
    <row r="309">
      <c r="A309" s="7">
        <v>309.0</v>
      </c>
      <c r="B309" s="20">
        <v>45838.0</v>
      </c>
      <c r="D309" s="7" t="s">
        <v>70</v>
      </c>
      <c r="F309" s="7" t="s">
        <v>70</v>
      </c>
      <c r="H309" s="7" t="s">
        <v>112</v>
      </c>
      <c r="I309" s="7" t="s">
        <v>239</v>
      </c>
      <c r="J309" s="7" t="s">
        <v>70</v>
      </c>
      <c r="K309" s="21">
        <v>1.555</v>
      </c>
      <c r="L309" s="4">
        <v>2.0</v>
      </c>
      <c r="M309" s="7" t="s">
        <v>44</v>
      </c>
      <c r="N309" s="22">
        <v>0.0</v>
      </c>
      <c r="O309" s="22">
        <f t="shared" si="6"/>
        <v>-2</v>
      </c>
      <c r="P309" s="26">
        <f t="shared" si="5"/>
        <v>215.52</v>
      </c>
      <c r="Q309" s="26">
        <f t="shared" si="1"/>
        <v>-84.49</v>
      </c>
      <c r="R309" s="27">
        <f t="shared" si="2"/>
        <v>-0.2816</v>
      </c>
      <c r="S309" s="24" t="s">
        <v>180</v>
      </c>
      <c r="T309" s="24" t="s">
        <v>36</v>
      </c>
      <c r="U309" s="28" t="str">
        <f t="shared" si="3"/>
        <v>Monday</v>
      </c>
    </row>
    <row r="310">
      <c r="A310" s="7">
        <v>310.0</v>
      </c>
      <c r="B310" s="20">
        <v>45839.0</v>
      </c>
      <c r="D310" s="7" t="s">
        <v>206</v>
      </c>
      <c r="F310" s="7" t="s">
        <v>223</v>
      </c>
      <c r="H310" s="7" t="s">
        <v>148</v>
      </c>
      <c r="I310" s="7" t="s">
        <v>206</v>
      </c>
      <c r="J310" s="7" t="s">
        <v>206</v>
      </c>
      <c r="K310" s="21">
        <v>1.3</v>
      </c>
      <c r="L310" s="4">
        <v>3.0</v>
      </c>
      <c r="M310" s="7" t="s">
        <v>34</v>
      </c>
      <c r="N310" s="22">
        <v>3.9</v>
      </c>
      <c r="O310" s="22">
        <f t="shared" si="6"/>
        <v>0.9</v>
      </c>
      <c r="P310" s="26">
        <f t="shared" si="5"/>
        <v>216.42</v>
      </c>
      <c r="Q310" s="26">
        <f t="shared" si="1"/>
        <v>-83.59</v>
      </c>
      <c r="R310" s="27">
        <f t="shared" si="2"/>
        <v>-0.2786</v>
      </c>
      <c r="S310" s="24" t="s">
        <v>180</v>
      </c>
      <c r="T310" s="24" t="s">
        <v>36</v>
      </c>
      <c r="U310" s="28" t="str">
        <f t="shared" si="3"/>
        <v>Tuesday</v>
      </c>
    </row>
    <row r="311">
      <c r="A311" s="7">
        <v>311.0</v>
      </c>
      <c r="B311" s="20">
        <v>45839.0</v>
      </c>
      <c r="D311" s="7" t="s">
        <v>240</v>
      </c>
      <c r="F311" s="7" t="s">
        <v>221</v>
      </c>
      <c r="H311" s="7" t="s">
        <v>148</v>
      </c>
      <c r="I311" s="7" t="s">
        <v>240</v>
      </c>
      <c r="J311" s="7" t="s">
        <v>240</v>
      </c>
      <c r="K311" s="21">
        <v>1.36</v>
      </c>
      <c r="L311" s="4">
        <v>3.0</v>
      </c>
      <c r="M311" s="7" t="s">
        <v>34</v>
      </c>
      <c r="N311" s="22">
        <v>4.09</v>
      </c>
      <c r="O311" s="22">
        <f t="shared" si="6"/>
        <v>1.09</v>
      </c>
      <c r="P311" s="26">
        <f t="shared" si="5"/>
        <v>217.51</v>
      </c>
      <c r="Q311" s="26">
        <f t="shared" si="1"/>
        <v>-82.5</v>
      </c>
      <c r="R311" s="27">
        <f t="shared" si="2"/>
        <v>-0.2749666667</v>
      </c>
      <c r="S311" s="24" t="s">
        <v>180</v>
      </c>
      <c r="T311" s="24" t="s">
        <v>36</v>
      </c>
      <c r="U311" s="28" t="str">
        <f t="shared" si="3"/>
        <v>Tuesday</v>
      </c>
    </row>
    <row r="312">
      <c r="A312" s="7">
        <v>312.0</v>
      </c>
      <c r="B312" s="20">
        <v>45839.0</v>
      </c>
      <c r="D312" s="7" t="s">
        <v>70</v>
      </c>
      <c r="F312" s="7" t="s">
        <v>70</v>
      </c>
      <c r="H312" s="7" t="s">
        <v>112</v>
      </c>
      <c r="I312" s="7" t="s">
        <v>241</v>
      </c>
      <c r="J312" s="7" t="s">
        <v>70</v>
      </c>
      <c r="K312" s="21">
        <v>1.77</v>
      </c>
      <c r="L312" s="4">
        <v>2.0</v>
      </c>
      <c r="M312" s="7" t="s">
        <v>34</v>
      </c>
      <c r="N312" s="22">
        <v>3.56</v>
      </c>
      <c r="O312" s="22">
        <f t="shared" si="6"/>
        <v>1.56</v>
      </c>
      <c r="P312" s="26">
        <f t="shared" si="5"/>
        <v>219.07</v>
      </c>
      <c r="Q312" s="26">
        <f t="shared" si="1"/>
        <v>-80.94</v>
      </c>
      <c r="R312" s="27">
        <f t="shared" si="2"/>
        <v>-0.2697666667</v>
      </c>
      <c r="S312" s="24" t="s">
        <v>180</v>
      </c>
      <c r="T312" s="24" t="s">
        <v>36</v>
      </c>
      <c r="U312" s="28" t="str">
        <f t="shared" si="3"/>
        <v>Tuesday</v>
      </c>
    </row>
    <row r="313">
      <c r="A313" s="7">
        <v>313.0</v>
      </c>
      <c r="B313" s="20">
        <v>45843.0</v>
      </c>
      <c r="D313" s="7" t="s">
        <v>207</v>
      </c>
      <c r="F313" s="7" t="s">
        <v>242</v>
      </c>
      <c r="H313" s="7" t="s">
        <v>148</v>
      </c>
      <c r="I313" s="7" t="s">
        <v>207</v>
      </c>
      <c r="J313" s="7" t="s">
        <v>207</v>
      </c>
      <c r="K313" s="21">
        <v>1.8</v>
      </c>
      <c r="L313" s="4">
        <v>0.0</v>
      </c>
      <c r="M313" s="7" t="s">
        <v>44</v>
      </c>
      <c r="N313" s="22">
        <v>0.0</v>
      </c>
      <c r="O313" s="22">
        <f t="shared" si="6"/>
        <v>0</v>
      </c>
      <c r="P313" s="26">
        <f t="shared" si="5"/>
        <v>219.07</v>
      </c>
      <c r="Q313" s="26">
        <f t="shared" si="1"/>
        <v>-80.94</v>
      </c>
      <c r="R313" s="27">
        <f t="shared" si="2"/>
        <v>-0.2697666667</v>
      </c>
      <c r="S313" s="24" t="s">
        <v>180</v>
      </c>
      <c r="T313" s="24" t="s">
        <v>36</v>
      </c>
      <c r="U313" s="28" t="str">
        <f t="shared" si="3"/>
        <v>Saturday</v>
      </c>
    </row>
    <row r="314">
      <c r="A314" s="7">
        <v>314.0</v>
      </c>
      <c r="B314" s="20">
        <v>45843.0</v>
      </c>
      <c r="D314" s="7" t="s">
        <v>69</v>
      </c>
      <c r="F314" s="7" t="s">
        <v>182</v>
      </c>
      <c r="H314" s="7" t="s">
        <v>148</v>
      </c>
      <c r="I314" s="7" t="s">
        <v>69</v>
      </c>
      <c r="J314" s="7" t="s">
        <v>69</v>
      </c>
      <c r="K314" s="21">
        <v>1.67</v>
      </c>
      <c r="L314" s="4">
        <v>0.0</v>
      </c>
      <c r="M314" s="7" t="s">
        <v>34</v>
      </c>
      <c r="N314" s="22">
        <v>23.85</v>
      </c>
      <c r="O314" s="22">
        <f t="shared" si="6"/>
        <v>23.85</v>
      </c>
      <c r="P314" s="26">
        <f t="shared" si="5"/>
        <v>242.92</v>
      </c>
      <c r="Q314" s="26">
        <f t="shared" si="1"/>
        <v>-57.09</v>
      </c>
      <c r="R314" s="27">
        <f t="shared" si="2"/>
        <v>-0.1902666667</v>
      </c>
      <c r="S314" s="24" t="s">
        <v>180</v>
      </c>
      <c r="T314" s="24" t="s">
        <v>36</v>
      </c>
      <c r="U314" s="28" t="str">
        <f t="shared" si="3"/>
        <v>Saturday</v>
      </c>
    </row>
    <row r="315">
      <c r="A315" s="7">
        <v>315.0</v>
      </c>
      <c r="B315" s="20">
        <v>45844.0</v>
      </c>
      <c r="D315" s="7" t="s">
        <v>152</v>
      </c>
      <c r="F315" s="7" t="s">
        <v>219</v>
      </c>
      <c r="H315" s="7" t="s">
        <v>148</v>
      </c>
      <c r="I315" s="7" t="s">
        <v>152</v>
      </c>
      <c r="J315" s="7" t="s">
        <v>152</v>
      </c>
      <c r="K315" s="21">
        <v>1.53</v>
      </c>
      <c r="L315" s="4">
        <v>0.0</v>
      </c>
      <c r="M315" s="7" t="s">
        <v>34</v>
      </c>
      <c r="N315" s="22">
        <v>30.15</v>
      </c>
      <c r="O315" s="22">
        <f t="shared" si="6"/>
        <v>30.15</v>
      </c>
      <c r="P315" s="26">
        <f t="shared" si="5"/>
        <v>273.07</v>
      </c>
      <c r="Q315" s="26">
        <f t="shared" si="1"/>
        <v>-26.94</v>
      </c>
      <c r="R315" s="27">
        <f t="shared" si="2"/>
        <v>-0.08976666667</v>
      </c>
      <c r="S315" s="24" t="s">
        <v>180</v>
      </c>
      <c r="T315" s="24" t="s">
        <v>36</v>
      </c>
      <c r="U315" s="28" t="str">
        <f t="shared" si="3"/>
        <v>Sunday</v>
      </c>
    </row>
    <row r="316">
      <c r="A316" s="7">
        <v>316.0</v>
      </c>
      <c r="B316" s="20">
        <v>45844.0</v>
      </c>
      <c r="D316" s="7" t="s">
        <v>206</v>
      </c>
      <c r="F316" s="7" t="s">
        <v>196</v>
      </c>
      <c r="H316" s="7" t="s">
        <v>148</v>
      </c>
      <c r="I316" s="7" t="s">
        <v>206</v>
      </c>
      <c r="J316" s="7" t="s">
        <v>206</v>
      </c>
      <c r="K316" s="21">
        <v>1.35</v>
      </c>
      <c r="L316" s="4">
        <v>0.0</v>
      </c>
      <c r="M316" s="7" t="s">
        <v>34</v>
      </c>
      <c r="N316" s="22">
        <v>15.75</v>
      </c>
      <c r="O316" s="22">
        <f t="shared" si="6"/>
        <v>15.75</v>
      </c>
      <c r="P316" s="26">
        <f t="shared" si="5"/>
        <v>288.82</v>
      </c>
      <c r="Q316" s="26">
        <f t="shared" si="1"/>
        <v>-11.19</v>
      </c>
      <c r="R316" s="27">
        <f t="shared" si="2"/>
        <v>-0.03726666667</v>
      </c>
      <c r="S316" s="24" t="s">
        <v>180</v>
      </c>
      <c r="T316" s="24" t="s">
        <v>36</v>
      </c>
      <c r="U316" s="28" t="str">
        <f t="shared" si="3"/>
        <v>Sunday</v>
      </c>
    </row>
    <row r="317">
      <c r="A317" s="7">
        <v>317.0</v>
      </c>
      <c r="B317" s="20">
        <v>45844.0</v>
      </c>
      <c r="D317" s="7" t="s">
        <v>70</v>
      </c>
      <c r="F317" s="7" t="s">
        <v>70</v>
      </c>
      <c r="H317" s="7" t="s">
        <v>112</v>
      </c>
      <c r="I317" s="7" t="s">
        <v>70</v>
      </c>
      <c r="J317" s="7" t="s">
        <v>70</v>
      </c>
      <c r="K317" s="21">
        <v>6.2</v>
      </c>
      <c r="L317" s="4">
        <v>0.0</v>
      </c>
      <c r="M317" s="7" t="s">
        <v>44</v>
      </c>
      <c r="N317" s="22">
        <v>0.0</v>
      </c>
      <c r="O317" s="22">
        <f t="shared" si="6"/>
        <v>0</v>
      </c>
      <c r="P317" s="26">
        <f t="shared" si="5"/>
        <v>288.82</v>
      </c>
      <c r="Q317" s="26">
        <f t="shared" si="1"/>
        <v>-11.19</v>
      </c>
      <c r="R317" s="27">
        <f t="shared" si="2"/>
        <v>-0.03726666667</v>
      </c>
      <c r="S317" s="24" t="s">
        <v>180</v>
      </c>
      <c r="T317" s="24" t="s">
        <v>36</v>
      </c>
      <c r="U317" s="28" t="str">
        <f t="shared" si="3"/>
        <v>Sunday</v>
      </c>
    </row>
    <row r="318">
      <c r="A318" s="7">
        <v>318.0</v>
      </c>
      <c r="B318" s="20">
        <v>45847.0</v>
      </c>
      <c r="D318" s="7" t="s">
        <v>69</v>
      </c>
      <c r="F318" s="7" t="s">
        <v>242</v>
      </c>
      <c r="H318" s="7" t="s">
        <v>148</v>
      </c>
      <c r="I318" s="7" t="s">
        <v>69</v>
      </c>
      <c r="J318" s="7" t="s">
        <v>69</v>
      </c>
      <c r="K318" s="21">
        <v>1.3</v>
      </c>
      <c r="L318" s="4">
        <v>6.0</v>
      </c>
      <c r="M318" s="7" t="s">
        <v>34</v>
      </c>
      <c r="N318" s="22">
        <v>7.8</v>
      </c>
      <c r="O318" s="22">
        <f t="shared" si="6"/>
        <v>1.8</v>
      </c>
      <c r="P318" s="26">
        <f t="shared" si="5"/>
        <v>290.62</v>
      </c>
      <c r="Q318" s="26">
        <f t="shared" si="1"/>
        <v>-9.39</v>
      </c>
      <c r="R318" s="27">
        <f t="shared" si="2"/>
        <v>-0.03126666667</v>
      </c>
      <c r="S318" s="24" t="s">
        <v>180</v>
      </c>
      <c r="T318" s="24" t="s">
        <v>36</v>
      </c>
      <c r="U318" s="28" t="str">
        <f t="shared" si="3"/>
        <v>Wednesday</v>
      </c>
    </row>
    <row r="319">
      <c r="A319" s="7">
        <v>319.0</v>
      </c>
      <c r="B319" s="20">
        <v>45848.0</v>
      </c>
      <c r="D319" s="7" t="s">
        <v>152</v>
      </c>
      <c r="F319" s="7" t="s">
        <v>206</v>
      </c>
      <c r="H319" s="7" t="s">
        <v>148</v>
      </c>
      <c r="I319" s="7" t="s">
        <v>152</v>
      </c>
      <c r="J319" s="7" t="s">
        <v>152</v>
      </c>
      <c r="K319" s="21">
        <v>1.75</v>
      </c>
      <c r="L319" s="4">
        <v>6.0</v>
      </c>
      <c r="M319" s="7" t="s">
        <v>34</v>
      </c>
      <c r="N319" s="22">
        <v>10.5</v>
      </c>
      <c r="O319" s="22">
        <f t="shared" si="6"/>
        <v>4.5</v>
      </c>
      <c r="P319" s="26">
        <f t="shared" si="5"/>
        <v>295.12</v>
      </c>
      <c r="Q319" s="26">
        <f t="shared" si="1"/>
        <v>-4.89</v>
      </c>
      <c r="R319" s="27">
        <f t="shared" si="2"/>
        <v>-0.01626666667</v>
      </c>
      <c r="S319" s="24" t="s">
        <v>180</v>
      </c>
      <c r="T319" s="24" t="s">
        <v>36</v>
      </c>
      <c r="U319" s="28" t="str">
        <f t="shared" si="3"/>
        <v>Thursday</v>
      </c>
    </row>
    <row r="320">
      <c r="A320" s="7">
        <v>320.0</v>
      </c>
      <c r="B320" s="20">
        <v>45848.0</v>
      </c>
      <c r="D320" s="7" t="s">
        <v>70</v>
      </c>
      <c r="F320" s="7" t="s">
        <v>70</v>
      </c>
      <c r="H320" s="7" t="s">
        <v>112</v>
      </c>
      <c r="I320" s="7" t="s">
        <v>70</v>
      </c>
      <c r="J320" s="7" t="s">
        <v>70</v>
      </c>
      <c r="K320" s="21">
        <v>2.41</v>
      </c>
      <c r="L320" s="4">
        <v>3.0</v>
      </c>
      <c r="M320" s="7" t="s">
        <v>34</v>
      </c>
      <c r="N320" s="22">
        <v>6.83</v>
      </c>
      <c r="O320" s="22">
        <f t="shared" si="6"/>
        <v>3.83</v>
      </c>
      <c r="P320" s="26">
        <f t="shared" si="5"/>
        <v>298.95</v>
      </c>
      <c r="Q320" s="26">
        <f t="shared" si="1"/>
        <v>-1.06</v>
      </c>
      <c r="R320" s="27">
        <f t="shared" si="2"/>
        <v>-0.0035</v>
      </c>
      <c r="S320" s="24" t="s">
        <v>180</v>
      </c>
      <c r="T320" s="24" t="s">
        <v>36</v>
      </c>
      <c r="U320" s="28" t="str">
        <f t="shared" si="3"/>
        <v>Thursday</v>
      </c>
    </row>
    <row r="321">
      <c r="A321" s="7">
        <v>321.0</v>
      </c>
      <c r="B321" s="20">
        <v>45851.0</v>
      </c>
      <c r="D321" s="7" t="s">
        <v>152</v>
      </c>
      <c r="F321" s="7" t="s">
        <v>69</v>
      </c>
      <c r="H321" s="7" t="s">
        <v>154</v>
      </c>
      <c r="I321" s="7" t="s">
        <v>152</v>
      </c>
      <c r="J321" s="7" t="s">
        <v>152</v>
      </c>
      <c r="K321" s="21">
        <v>1.36</v>
      </c>
      <c r="L321" s="4">
        <v>16.0</v>
      </c>
      <c r="M321" s="7" t="s">
        <v>44</v>
      </c>
      <c r="N321" s="22">
        <v>0.0</v>
      </c>
      <c r="O321" s="22">
        <f t="shared" si="6"/>
        <v>-16</v>
      </c>
      <c r="P321" s="26">
        <f t="shared" si="5"/>
        <v>282.95</v>
      </c>
      <c r="Q321" s="26">
        <f t="shared" si="1"/>
        <v>-17.06</v>
      </c>
      <c r="R321" s="27">
        <f t="shared" si="2"/>
        <v>-0.05683333333</v>
      </c>
      <c r="S321" s="24" t="s">
        <v>180</v>
      </c>
      <c r="T321" s="24" t="s">
        <v>36</v>
      </c>
      <c r="U321" s="28" t="str">
        <f t="shared" si="3"/>
        <v>Sunday</v>
      </c>
    </row>
    <row r="322">
      <c r="A322" s="7">
        <v>322.0</v>
      </c>
      <c r="B322" s="20">
        <v>45851.0</v>
      </c>
      <c r="D322" s="7" t="s">
        <v>70</v>
      </c>
      <c r="F322" s="7" t="s">
        <v>70</v>
      </c>
      <c r="H322" s="7" t="s">
        <v>112</v>
      </c>
      <c r="I322" s="7" t="s">
        <v>243</v>
      </c>
      <c r="J322" s="25"/>
      <c r="K322" s="21">
        <v>2.78</v>
      </c>
      <c r="L322" s="4">
        <v>4.0</v>
      </c>
      <c r="M322" s="7" t="s">
        <v>44</v>
      </c>
      <c r="N322" s="22">
        <v>0.0</v>
      </c>
      <c r="O322" s="22">
        <f t="shared" si="6"/>
        <v>-4</v>
      </c>
      <c r="P322" s="26">
        <f t="shared" si="5"/>
        <v>278.95</v>
      </c>
      <c r="Q322" s="26">
        <f t="shared" si="1"/>
        <v>-21.06</v>
      </c>
      <c r="R322" s="27">
        <f t="shared" si="2"/>
        <v>-0.07016666667</v>
      </c>
      <c r="S322" s="24" t="s">
        <v>180</v>
      </c>
      <c r="T322" s="24" t="s">
        <v>36</v>
      </c>
      <c r="U322" s="28" t="str">
        <f t="shared" si="3"/>
        <v>Sunday</v>
      </c>
    </row>
    <row r="323">
      <c r="A323" s="7">
        <v>323.0</v>
      </c>
      <c r="B323" s="20">
        <v>45886.0</v>
      </c>
      <c r="C323" s="7">
        <v>1.0</v>
      </c>
      <c r="D323" s="7" t="s">
        <v>51</v>
      </c>
      <c r="F323" s="7" t="s">
        <v>32</v>
      </c>
      <c r="H323" s="7" t="s">
        <v>52</v>
      </c>
      <c r="I323" s="7" t="s">
        <v>51</v>
      </c>
      <c r="J323" s="21" t="s">
        <v>51</v>
      </c>
      <c r="K323" s="21">
        <v>1.4</v>
      </c>
      <c r="L323" s="4">
        <v>5.0</v>
      </c>
      <c r="M323" s="7" t="s">
        <v>95</v>
      </c>
      <c r="N323" s="22">
        <v>3.75</v>
      </c>
      <c r="O323" s="22">
        <f t="shared" si="6"/>
        <v>-1.25</v>
      </c>
      <c r="P323" s="26">
        <f>P322-L323+N323+75</f>
        <v>352.7</v>
      </c>
      <c r="Q323" s="26">
        <f t="shared" ref="Q323:Q441" si="7">P323-375.01</f>
        <v>-22.31</v>
      </c>
      <c r="R323" s="27">
        <f t="shared" ref="R323:R387" si="8">(P323-375)/375</f>
        <v>-0.05946666667</v>
      </c>
      <c r="S323" s="24" t="s">
        <v>244</v>
      </c>
      <c r="T323" s="24" t="s">
        <v>36</v>
      </c>
      <c r="U323" s="28" t="str">
        <f t="shared" si="3"/>
        <v>Sunday</v>
      </c>
      <c r="V323" s="7" t="s">
        <v>245</v>
      </c>
    </row>
    <row r="324">
      <c r="A324" s="7">
        <v>324.0</v>
      </c>
      <c r="B324" s="20">
        <v>45886.0</v>
      </c>
      <c r="C324" s="7">
        <v>1.0</v>
      </c>
      <c r="D324" s="7" t="s">
        <v>50</v>
      </c>
      <c r="F324" s="7" t="s">
        <v>246</v>
      </c>
      <c r="H324" s="7" t="s">
        <v>33</v>
      </c>
      <c r="I324" s="7" t="s">
        <v>50</v>
      </c>
      <c r="J324" s="21" t="s">
        <v>50</v>
      </c>
      <c r="K324" s="21">
        <v>1.35</v>
      </c>
      <c r="L324" s="4">
        <v>5.0</v>
      </c>
      <c r="M324" s="7" t="s">
        <v>34</v>
      </c>
      <c r="N324" s="22">
        <v>6.75</v>
      </c>
      <c r="O324" s="22">
        <f t="shared" si="6"/>
        <v>1.75</v>
      </c>
      <c r="P324" s="26">
        <f t="shared" ref="P324:P441" si="9">P323-L324+N324</f>
        <v>354.45</v>
      </c>
      <c r="Q324" s="26">
        <f t="shared" si="7"/>
        <v>-20.56</v>
      </c>
      <c r="R324" s="27">
        <f t="shared" si="8"/>
        <v>-0.0548</v>
      </c>
      <c r="S324" s="24" t="s">
        <v>244</v>
      </c>
      <c r="T324" s="24" t="s">
        <v>36</v>
      </c>
      <c r="U324" s="28" t="str">
        <f t="shared" si="3"/>
        <v>Sunday</v>
      </c>
      <c r="V324" s="7" t="s">
        <v>247</v>
      </c>
    </row>
    <row r="325">
      <c r="A325" s="7">
        <v>325.0</v>
      </c>
      <c r="B325" s="20">
        <v>45886.0</v>
      </c>
      <c r="C325" s="7">
        <v>1.0</v>
      </c>
      <c r="D325" s="7" t="s">
        <v>248</v>
      </c>
      <c r="F325" s="7" t="s">
        <v>57</v>
      </c>
      <c r="H325" s="7" t="s">
        <v>52</v>
      </c>
      <c r="I325" s="7" t="s">
        <v>57</v>
      </c>
      <c r="J325" s="21" t="s">
        <v>57</v>
      </c>
      <c r="K325" s="21">
        <v>1.95</v>
      </c>
      <c r="L325" s="4">
        <v>5.0</v>
      </c>
      <c r="M325" s="7" t="s">
        <v>44</v>
      </c>
      <c r="N325" s="22">
        <v>0.0</v>
      </c>
      <c r="O325" s="22">
        <f t="shared" si="6"/>
        <v>-5</v>
      </c>
      <c r="P325" s="26">
        <f t="shared" si="9"/>
        <v>349.45</v>
      </c>
      <c r="Q325" s="26">
        <f t="shared" si="7"/>
        <v>-25.56</v>
      </c>
      <c r="R325" s="27">
        <f t="shared" si="8"/>
        <v>-0.06813333333</v>
      </c>
      <c r="S325" s="24" t="s">
        <v>244</v>
      </c>
      <c r="T325" s="24" t="s">
        <v>36</v>
      </c>
      <c r="U325" s="28" t="str">
        <f t="shared" si="3"/>
        <v>Sunday</v>
      </c>
      <c r="V325" s="7" t="s">
        <v>249</v>
      </c>
    </row>
    <row r="326">
      <c r="A326" s="7">
        <v>326.0</v>
      </c>
      <c r="B326" s="20">
        <v>45892.0</v>
      </c>
      <c r="C326" s="7">
        <v>2.0</v>
      </c>
      <c r="D326" s="7" t="s">
        <v>58</v>
      </c>
      <c r="F326" s="7" t="s">
        <v>38</v>
      </c>
      <c r="H326" s="7" t="s">
        <v>52</v>
      </c>
      <c r="I326" s="7" t="s">
        <v>58</v>
      </c>
      <c r="J326" s="21" t="s">
        <v>58</v>
      </c>
      <c r="K326" s="21">
        <v>1.33</v>
      </c>
      <c r="L326" s="4">
        <v>5.0</v>
      </c>
      <c r="M326" s="7" t="s">
        <v>34</v>
      </c>
      <c r="N326" s="22">
        <v>6.65</v>
      </c>
      <c r="O326" s="22">
        <f t="shared" si="6"/>
        <v>1.65</v>
      </c>
      <c r="P326" s="26">
        <f t="shared" si="9"/>
        <v>351.1</v>
      </c>
      <c r="Q326" s="26">
        <f t="shared" si="7"/>
        <v>-23.91</v>
      </c>
      <c r="R326" s="27">
        <f t="shared" si="8"/>
        <v>-0.06373333333</v>
      </c>
      <c r="S326" s="24" t="s">
        <v>244</v>
      </c>
      <c r="T326" s="24" t="s">
        <v>36</v>
      </c>
      <c r="U326" s="28" t="str">
        <f t="shared" si="3"/>
        <v>Saturday</v>
      </c>
      <c r="V326" s="7" t="s">
        <v>245</v>
      </c>
    </row>
    <row r="327">
      <c r="A327" s="7">
        <v>327.0</v>
      </c>
      <c r="B327" s="20">
        <v>45892.0</v>
      </c>
      <c r="C327" s="7">
        <v>2.0</v>
      </c>
      <c r="D327" s="7" t="s">
        <v>37</v>
      </c>
      <c r="F327" s="7" t="s">
        <v>248</v>
      </c>
      <c r="H327" s="7" t="s">
        <v>55</v>
      </c>
      <c r="I327" s="7" t="s">
        <v>85</v>
      </c>
      <c r="J327" s="21" t="s">
        <v>37</v>
      </c>
      <c r="K327" s="21">
        <v>1.73</v>
      </c>
      <c r="L327" s="4">
        <v>5.0</v>
      </c>
      <c r="M327" s="7" t="s">
        <v>34</v>
      </c>
      <c r="N327" s="22">
        <v>8.65</v>
      </c>
      <c r="O327" s="22">
        <f t="shared" si="6"/>
        <v>3.65</v>
      </c>
      <c r="P327" s="26">
        <f t="shared" si="9"/>
        <v>354.75</v>
      </c>
      <c r="Q327" s="26">
        <f t="shared" si="7"/>
        <v>-20.26</v>
      </c>
      <c r="R327" s="27">
        <f t="shared" si="8"/>
        <v>-0.054</v>
      </c>
      <c r="S327" s="24" t="s">
        <v>244</v>
      </c>
      <c r="T327" s="24" t="s">
        <v>36</v>
      </c>
      <c r="U327" s="28" t="str">
        <f t="shared" si="3"/>
        <v>Saturday</v>
      </c>
      <c r="V327" s="7" t="s">
        <v>247</v>
      </c>
    </row>
    <row r="328">
      <c r="A328" s="7">
        <v>328.0</v>
      </c>
      <c r="B328" s="20">
        <v>45893.0</v>
      </c>
      <c r="C328" s="7">
        <v>2.0</v>
      </c>
      <c r="D328" s="7" t="s">
        <v>46</v>
      </c>
      <c r="F328" s="7" t="s">
        <v>78</v>
      </c>
      <c r="H328" s="7" t="s">
        <v>52</v>
      </c>
      <c r="I328" s="7" t="s">
        <v>46</v>
      </c>
      <c r="J328" s="21" t="s">
        <v>46</v>
      </c>
      <c r="K328" s="21">
        <v>1.53</v>
      </c>
      <c r="L328" s="4">
        <v>5.0</v>
      </c>
      <c r="M328" s="7" t="s">
        <v>95</v>
      </c>
      <c r="N328" s="22">
        <v>5.0</v>
      </c>
      <c r="O328" s="22">
        <f t="shared" si="6"/>
        <v>0</v>
      </c>
      <c r="P328" s="26">
        <f t="shared" si="9"/>
        <v>354.75</v>
      </c>
      <c r="Q328" s="26">
        <f t="shared" si="7"/>
        <v>-20.26</v>
      </c>
      <c r="R328" s="27">
        <f t="shared" si="8"/>
        <v>-0.054</v>
      </c>
      <c r="S328" s="24" t="s">
        <v>244</v>
      </c>
      <c r="T328" s="24" t="s">
        <v>36</v>
      </c>
      <c r="U328" s="28" t="str">
        <f t="shared" si="3"/>
        <v>Sunday</v>
      </c>
      <c r="V328" s="7" t="s">
        <v>249</v>
      </c>
    </row>
    <row r="329">
      <c r="A329" s="7">
        <v>329.0</v>
      </c>
      <c r="B329" s="20">
        <v>45899.0</v>
      </c>
      <c r="C329" s="7">
        <v>3.0</v>
      </c>
      <c r="D329" s="7" t="s">
        <v>250</v>
      </c>
      <c r="F329" s="7" t="s">
        <v>45</v>
      </c>
      <c r="H329" s="7" t="s">
        <v>52</v>
      </c>
      <c r="I329" s="7" t="s">
        <v>45</v>
      </c>
      <c r="J329" s="21" t="s">
        <v>45</v>
      </c>
      <c r="K329" s="21">
        <v>1.83</v>
      </c>
      <c r="L329" s="4">
        <v>5.0</v>
      </c>
      <c r="M329" s="7" t="s">
        <v>44</v>
      </c>
      <c r="N329" s="22">
        <v>0.0</v>
      </c>
      <c r="O329" s="22">
        <f t="shared" si="6"/>
        <v>-5</v>
      </c>
      <c r="P329" s="26">
        <f t="shared" si="9"/>
        <v>349.75</v>
      </c>
      <c r="Q329" s="26">
        <f t="shared" si="7"/>
        <v>-25.26</v>
      </c>
      <c r="R329" s="27">
        <f t="shared" si="8"/>
        <v>-0.06733333333</v>
      </c>
      <c r="S329" s="24" t="s">
        <v>244</v>
      </c>
      <c r="T329" s="24" t="s">
        <v>36</v>
      </c>
      <c r="U329" s="28" t="str">
        <f t="shared" si="3"/>
        <v>Saturday</v>
      </c>
      <c r="V329" s="7" t="s">
        <v>247</v>
      </c>
    </row>
    <row r="330">
      <c r="A330" s="7">
        <v>330.0</v>
      </c>
      <c r="B330" s="20">
        <v>45899.0</v>
      </c>
      <c r="C330" s="7">
        <v>3.0</v>
      </c>
      <c r="D330" s="7" t="s">
        <v>50</v>
      </c>
      <c r="F330" s="7" t="s">
        <v>58</v>
      </c>
      <c r="H330" s="7" t="s">
        <v>33</v>
      </c>
      <c r="I330" s="7" t="s">
        <v>50</v>
      </c>
      <c r="J330" s="21" t="s">
        <v>50</v>
      </c>
      <c r="K330" s="21">
        <v>1.67</v>
      </c>
      <c r="L330" s="4">
        <v>5.0</v>
      </c>
      <c r="M330" s="7" t="s">
        <v>44</v>
      </c>
      <c r="N330" s="22">
        <v>0.0</v>
      </c>
      <c r="O330" s="22">
        <f t="shared" si="6"/>
        <v>-5</v>
      </c>
      <c r="P330" s="26">
        <f t="shared" si="9"/>
        <v>344.75</v>
      </c>
      <c r="Q330" s="26">
        <f t="shared" si="7"/>
        <v>-30.26</v>
      </c>
      <c r="R330" s="27">
        <f t="shared" si="8"/>
        <v>-0.08066666667</v>
      </c>
      <c r="S330" s="24" t="s">
        <v>244</v>
      </c>
      <c r="T330" s="24" t="s">
        <v>36</v>
      </c>
      <c r="U330" s="28" t="str">
        <f t="shared" si="3"/>
        <v>Saturday</v>
      </c>
      <c r="V330" s="7" t="s">
        <v>249</v>
      </c>
    </row>
    <row r="331">
      <c r="A331" s="7">
        <v>331.0</v>
      </c>
      <c r="B331" s="20">
        <v>45899.0</v>
      </c>
      <c r="C331" s="7">
        <v>3.0</v>
      </c>
      <c r="D331" s="7" t="s">
        <v>69</v>
      </c>
      <c r="F331" s="7" t="s">
        <v>32</v>
      </c>
      <c r="H331" s="7" t="s">
        <v>33</v>
      </c>
      <c r="I331" s="7" t="s">
        <v>69</v>
      </c>
      <c r="J331" s="21" t="s">
        <v>69</v>
      </c>
      <c r="K331" s="21">
        <v>1.52</v>
      </c>
      <c r="L331" s="4">
        <v>5.0</v>
      </c>
      <c r="M331" s="7" t="s">
        <v>34</v>
      </c>
      <c r="N331" s="22">
        <v>7.6</v>
      </c>
      <c r="O331" s="22">
        <v>1.35</v>
      </c>
      <c r="P331" s="26">
        <f t="shared" si="9"/>
        <v>347.35</v>
      </c>
      <c r="Q331" s="26">
        <f t="shared" si="7"/>
        <v>-27.66</v>
      </c>
      <c r="R331" s="27">
        <f t="shared" si="8"/>
        <v>-0.07373333333</v>
      </c>
      <c r="S331" s="24" t="s">
        <v>244</v>
      </c>
      <c r="T331" s="24" t="s">
        <v>36</v>
      </c>
      <c r="U331" s="28" t="str">
        <f t="shared" si="3"/>
        <v>Saturday</v>
      </c>
      <c r="V331" s="7" t="s">
        <v>245</v>
      </c>
    </row>
    <row r="332">
      <c r="A332" s="7">
        <v>332.0</v>
      </c>
      <c r="B332" s="20">
        <v>45905.0</v>
      </c>
      <c r="D332" s="7" t="s">
        <v>251</v>
      </c>
      <c r="F332" s="7" t="s">
        <v>75</v>
      </c>
      <c r="H332" s="7" t="s">
        <v>52</v>
      </c>
      <c r="I332" s="7" t="s">
        <v>251</v>
      </c>
      <c r="J332" s="21" t="s">
        <v>251</v>
      </c>
      <c r="K332" s="21">
        <v>1.2</v>
      </c>
      <c r="L332" s="4">
        <v>5.0</v>
      </c>
      <c r="M332" s="7" t="s">
        <v>34</v>
      </c>
      <c r="N332" s="22">
        <v>6.0</v>
      </c>
      <c r="O332" s="22">
        <f t="shared" ref="O332:O384" si="10">N332-L332</f>
        <v>1</v>
      </c>
      <c r="P332" s="26">
        <f t="shared" si="9"/>
        <v>348.35</v>
      </c>
      <c r="Q332" s="26">
        <f t="shared" si="7"/>
        <v>-26.66</v>
      </c>
      <c r="R332" s="27">
        <f t="shared" si="8"/>
        <v>-0.07106666667</v>
      </c>
      <c r="S332" s="24" t="s">
        <v>252</v>
      </c>
      <c r="T332" s="24" t="s">
        <v>36</v>
      </c>
      <c r="U332" s="28" t="str">
        <f t="shared" si="3"/>
        <v>Friday</v>
      </c>
    </row>
    <row r="333">
      <c r="A333" s="7">
        <v>333.0</v>
      </c>
      <c r="B333" s="20">
        <v>45909.0</v>
      </c>
      <c r="D333" s="7" t="s">
        <v>75</v>
      </c>
      <c r="F333" s="7" t="s">
        <v>251</v>
      </c>
      <c r="H333" s="7" t="s">
        <v>52</v>
      </c>
      <c r="I333" s="7" t="s">
        <v>75</v>
      </c>
      <c r="J333" s="21" t="s">
        <v>75</v>
      </c>
      <c r="K333" s="21">
        <v>2.1</v>
      </c>
      <c r="L333" s="4">
        <v>5.0</v>
      </c>
      <c r="M333" s="7" t="s">
        <v>44</v>
      </c>
      <c r="N333" s="22">
        <v>0.0</v>
      </c>
      <c r="O333" s="22">
        <f t="shared" si="10"/>
        <v>-5</v>
      </c>
      <c r="P333" s="26">
        <f t="shared" si="9"/>
        <v>343.35</v>
      </c>
      <c r="Q333" s="26">
        <f t="shared" si="7"/>
        <v>-31.66</v>
      </c>
      <c r="R333" s="27">
        <f t="shared" si="8"/>
        <v>-0.0844</v>
      </c>
      <c r="S333" s="24" t="s">
        <v>252</v>
      </c>
      <c r="T333" s="24" t="s">
        <v>36</v>
      </c>
      <c r="U333" s="28" t="str">
        <f t="shared" si="3"/>
        <v>Tuesday</v>
      </c>
    </row>
    <row r="334">
      <c r="A334" s="7">
        <v>334.0</v>
      </c>
      <c r="B334" s="20">
        <v>45913.0</v>
      </c>
      <c r="C334" s="7">
        <v>4.0</v>
      </c>
      <c r="D334" s="7" t="s">
        <v>37</v>
      </c>
      <c r="F334" s="7" t="s">
        <v>78</v>
      </c>
      <c r="H334" s="7" t="s">
        <v>33</v>
      </c>
      <c r="I334" s="7" t="s">
        <v>37</v>
      </c>
      <c r="J334" s="21" t="s">
        <v>37</v>
      </c>
      <c r="K334" s="21">
        <v>1.4</v>
      </c>
      <c r="L334" s="4">
        <v>5.0</v>
      </c>
      <c r="M334" s="7" t="s">
        <v>34</v>
      </c>
      <c r="N334" s="22">
        <v>7.0</v>
      </c>
      <c r="O334" s="22">
        <f t="shared" si="10"/>
        <v>2</v>
      </c>
      <c r="P334" s="26">
        <f t="shared" si="9"/>
        <v>345.35</v>
      </c>
      <c r="Q334" s="26">
        <f t="shared" si="7"/>
        <v>-29.66</v>
      </c>
      <c r="R334" s="27">
        <f t="shared" si="8"/>
        <v>-0.07906666667</v>
      </c>
      <c r="S334" s="24" t="s">
        <v>244</v>
      </c>
      <c r="T334" s="24" t="s">
        <v>36</v>
      </c>
      <c r="U334" s="28" t="str">
        <f t="shared" si="3"/>
        <v>Saturday</v>
      </c>
      <c r="V334" s="7" t="s">
        <v>245</v>
      </c>
    </row>
    <row r="335">
      <c r="A335" s="7">
        <v>335.0</v>
      </c>
      <c r="B335" s="20">
        <v>45913.0</v>
      </c>
      <c r="C335" s="7">
        <v>4.0</v>
      </c>
      <c r="D335" s="7" t="s">
        <v>37</v>
      </c>
      <c r="F335" s="7" t="s">
        <v>78</v>
      </c>
      <c r="H335" s="7" t="s">
        <v>33</v>
      </c>
      <c r="I335" s="7" t="s">
        <v>37</v>
      </c>
      <c r="J335" s="21" t="s">
        <v>37</v>
      </c>
      <c r="K335" s="21">
        <v>1.4</v>
      </c>
      <c r="L335" s="4">
        <v>5.0</v>
      </c>
      <c r="M335" s="7" t="s">
        <v>34</v>
      </c>
      <c r="N335" s="22">
        <v>7.0</v>
      </c>
      <c r="O335" s="22">
        <f t="shared" si="10"/>
        <v>2</v>
      </c>
      <c r="P335" s="26">
        <f t="shared" si="9"/>
        <v>347.35</v>
      </c>
      <c r="Q335" s="26">
        <f t="shared" si="7"/>
        <v>-27.66</v>
      </c>
      <c r="R335" s="27">
        <f t="shared" si="8"/>
        <v>-0.07373333333</v>
      </c>
      <c r="S335" s="24" t="s">
        <v>244</v>
      </c>
      <c r="T335" s="24" t="s">
        <v>36</v>
      </c>
      <c r="U335" s="28" t="str">
        <f t="shared" si="3"/>
        <v>Saturday</v>
      </c>
      <c r="V335" s="7" t="s">
        <v>247</v>
      </c>
    </row>
    <row r="336">
      <c r="A336" s="7">
        <v>336.0</v>
      </c>
      <c r="B336" s="20">
        <v>45914.0</v>
      </c>
      <c r="C336" s="7">
        <v>4.0</v>
      </c>
      <c r="D336" s="7" t="s">
        <v>46</v>
      </c>
      <c r="F336" s="7" t="s">
        <v>250</v>
      </c>
      <c r="H336" s="7" t="s">
        <v>33</v>
      </c>
      <c r="I336" s="7" t="s">
        <v>46</v>
      </c>
      <c r="J336" s="21" t="s">
        <v>46</v>
      </c>
      <c r="K336" s="21">
        <v>1.62</v>
      </c>
      <c r="L336" s="4">
        <v>5.0</v>
      </c>
      <c r="M336" s="7" t="s">
        <v>44</v>
      </c>
      <c r="N336" s="22">
        <v>0.0</v>
      </c>
      <c r="O336" s="22">
        <f t="shared" si="10"/>
        <v>-5</v>
      </c>
      <c r="P336" s="26">
        <f t="shared" si="9"/>
        <v>342.35</v>
      </c>
      <c r="Q336" s="26">
        <f t="shared" si="7"/>
        <v>-32.66</v>
      </c>
      <c r="R336" s="27">
        <f t="shared" si="8"/>
        <v>-0.08706666667</v>
      </c>
      <c r="S336" s="24" t="s">
        <v>244</v>
      </c>
      <c r="T336" s="24" t="s">
        <v>36</v>
      </c>
      <c r="U336" s="28" t="str">
        <f t="shared" si="3"/>
        <v>Sunday</v>
      </c>
      <c r="V336" s="7" t="s">
        <v>249</v>
      </c>
    </row>
    <row r="337">
      <c r="A337" s="7">
        <v>337.0</v>
      </c>
      <c r="B337" s="20">
        <v>45921.0</v>
      </c>
      <c r="C337" s="7">
        <v>5.0</v>
      </c>
      <c r="D337" s="7" t="s">
        <v>61</v>
      </c>
      <c r="F337" s="7" t="s">
        <v>57</v>
      </c>
      <c r="H337" s="7" t="s">
        <v>33</v>
      </c>
      <c r="I337" s="7" t="s">
        <v>86</v>
      </c>
      <c r="J337" s="21" t="s">
        <v>61</v>
      </c>
      <c r="K337" s="21">
        <v>1.48</v>
      </c>
      <c r="L337" s="4">
        <v>5.0</v>
      </c>
      <c r="M337" s="7" t="s">
        <v>34</v>
      </c>
      <c r="N337" s="22">
        <v>7.4</v>
      </c>
      <c r="O337" s="22">
        <f t="shared" si="10"/>
        <v>2.4</v>
      </c>
      <c r="P337" s="26">
        <f t="shared" si="9"/>
        <v>344.75</v>
      </c>
      <c r="Q337" s="26">
        <f t="shared" si="7"/>
        <v>-30.26</v>
      </c>
      <c r="R337" s="27">
        <f t="shared" si="8"/>
        <v>-0.08066666667</v>
      </c>
      <c r="S337" s="24" t="s">
        <v>244</v>
      </c>
      <c r="T337" s="24" t="s">
        <v>36</v>
      </c>
      <c r="U337" s="28" t="str">
        <f t="shared" si="3"/>
        <v>Sunday</v>
      </c>
      <c r="V337" s="7" t="s">
        <v>249</v>
      </c>
    </row>
    <row r="338">
      <c r="A338" s="7">
        <v>338.0</v>
      </c>
      <c r="B338" s="20">
        <v>45922.0</v>
      </c>
      <c r="C338" s="7">
        <v>5.0</v>
      </c>
      <c r="D338" s="7" t="s">
        <v>37</v>
      </c>
      <c r="F338" s="7" t="s">
        <v>53</v>
      </c>
      <c r="H338" s="7" t="s">
        <v>82</v>
      </c>
      <c r="I338" s="7" t="s">
        <v>83</v>
      </c>
      <c r="J338" s="21" t="s">
        <v>37</v>
      </c>
      <c r="K338" s="21">
        <v>1.67</v>
      </c>
      <c r="L338" s="4">
        <v>5.0</v>
      </c>
      <c r="M338" s="7" t="s">
        <v>34</v>
      </c>
      <c r="N338" s="22">
        <v>8.35</v>
      </c>
      <c r="O338" s="22">
        <f t="shared" si="10"/>
        <v>3.35</v>
      </c>
      <c r="P338" s="26">
        <f t="shared" si="9"/>
        <v>348.1</v>
      </c>
      <c r="Q338" s="26">
        <f t="shared" si="7"/>
        <v>-26.91</v>
      </c>
      <c r="R338" s="27">
        <f t="shared" si="8"/>
        <v>-0.07173333333</v>
      </c>
      <c r="S338" s="24" t="s">
        <v>244</v>
      </c>
      <c r="T338" s="24" t="s">
        <v>36</v>
      </c>
      <c r="U338" s="28" t="str">
        <f t="shared" si="3"/>
        <v>Monday</v>
      </c>
      <c r="V338" s="7" t="s">
        <v>245</v>
      </c>
    </row>
    <row r="339">
      <c r="A339" s="7">
        <v>339.0</v>
      </c>
      <c r="B339" s="20">
        <v>45922.0</v>
      </c>
      <c r="C339" s="7">
        <v>5.0</v>
      </c>
      <c r="D339" s="7" t="s">
        <v>37</v>
      </c>
      <c r="F339" s="7" t="s">
        <v>53</v>
      </c>
      <c r="H339" s="7" t="s">
        <v>82</v>
      </c>
      <c r="I339" s="7" t="s">
        <v>83</v>
      </c>
      <c r="J339" s="21" t="s">
        <v>37</v>
      </c>
      <c r="K339" s="21">
        <v>1.67</v>
      </c>
      <c r="L339" s="4">
        <v>5.0</v>
      </c>
      <c r="M339" s="7" t="s">
        <v>34</v>
      </c>
      <c r="N339" s="22">
        <v>8.35</v>
      </c>
      <c r="O339" s="22">
        <f t="shared" si="10"/>
        <v>3.35</v>
      </c>
      <c r="P339" s="26">
        <f t="shared" si="9"/>
        <v>351.45</v>
      </c>
      <c r="Q339" s="26">
        <f t="shared" si="7"/>
        <v>-23.56</v>
      </c>
      <c r="R339" s="27">
        <f t="shared" si="8"/>
        <v>-0.0628</v>
      </c>
      <c r="S339" s="24" t="s">
        <v>244</v>
      </c>
      <c r="T339" s="24" t="s">
        <v>36</v>
      </c>
      <c r="U339" s="28" t="str">
        <f t="shared" si="3"/>
        <v>Monday</v>
      </c>
      <c r="V339" s="7" t="s">
        <v>247</v>
      </c>
    </row>
    <row r="340">
      <c r="A340" s="7">
        <v>340.0</v>
      </c>
      <c r="B340" s="20">
        <v>45928.0</v>
      </c>
      <c r="C340" s="7">
        <v>6.0</v>
      </c>
      <c r="D340" s="7" t="s">
        <v>69</v>
      </c>
      <c r="F340" s="7" t="s">
        <v>51</v>
      </c>
      <c r="H340" s="7" t="s">
        <v>33</v>
      </c>
      <c r="I340" s="7" t="s">
        <v>69</v>
      </c>
      <c r="J340" s="21" t="s">
        <v>69</v>
      </c>
      <c r="K340" s="21">
        <v>1.8</v>
      </c>
      <c r="L340" s="4">
        <v>5.0</v>
      </c>
      <c r="M340" s="7" t="s">
        <v>44</v>
      </c>
      <c r="N340" s="22">
        <v>0.0</v>
      </c>
      <c r="O340" s="22">
        <f t="shared" si="10"/>
        <v>-5</v>
      </c>
      <c r="P340" s="26">
        <f t="shared" si="9"/>
        <v>346.45</v>
      </c>
      <c r="Q340" s="26">
        <f t="shared" si="7"/>
        <v>-28.56</v>
      </c>
      <c r="R340" s="27">
        <f t="shared" si="8"/>
        <v>-0.07613333333</v>
      </c>
      <c r="S340" s="24" t="s">
        <v>244</v>
      </c>
      <c r="T340" s="24" t="s">
        <v>36</v>
      </c>
      <c r="U340" s="28" t="str">
        <f t="shared" si="3"/>
        <v>Sunday</v>
      </c>
      <c r="V340" s="7" t="s">
        <v>247</v>
      </c>
    </row>
    <row r="341">
      <c r="A341" s="7">
        <v>341.0</v>
      </c>
      <c r="B341" s="20">
        <v>45928.0</v>
      </c>
      <c r="C341" s="7">
        <v>6.0</v>
      </c>
      <c r="D341" s="7" t="s">
        <v>50</v>
      </c>
      <c r="F341" s="7" t="s">
        <v>38</v>
      </c>
      <c r="H341" s="7" t="s">
        <v>82</v>
      </c>
      <c r="I341" s="7" t="s">
        <v>106</v>
      </c>
      <c r="J341" s="21" t="s">
        <v>50</v>
      </c>
      <c r="K341" s="21">
        <v>1.91</v>
      </c>
      <c r="L341" s="4">
        <v>5.0</v>
      </c>
      <c r="M341" s="7" t="s">
        <v>44</v>
      </c>
      <c r="N341" s="22">
        <v>0.0</v>
      </c>
      <c r="O341" s="22">
        <f t="shared" si="10"/>
        <v>-5</v>
      </c>
      <c r="P341" s="26">
        <f t="shared" si="9"/>
        <v>341.45</v>
      </c>
      <c r="Q341" s="26">
        <f t="shared" si="7"/>
        <v>-33.56</v>
      </c>
      <c r="R341" s="27">
        <f t="shared" si="8"/>
        <v>-0.08946666667</v>
      </c>
      <c r="S341" s="24" t="s">
        <v>244</v>
      </c>
      <c r="T341" s="24" t="s">
        <v>36</v>
      </c>
      <c r="U341" s="28" t="str">
        <f t="shared" si="3"/>
        <v>Sunday</v>
      </c>
      <c r="V341" s="7" t="s">
        <v>245</v>
      </c>
    </row>
    <row r="342">
      <c r="A342" s="7">
        <v>342.0</v>
      </c>
      <c r="B342" s="20">
        <v>45929.0</v>
      </c>
      <c r="C342" s="7">
        <v>6.0</v>
      </c>
      <c r="D342" s="7" t="s">
        <v>59</v>
      </c>
      <c r="F342" s="7" t="s">
        <v>37</v>
      </c>
      <c r="H342" s="7" t="s">
        <v>52</v>
      </c>
      <c r="I342" s="7" t="s">
        <v>37</v>
      </c>
      <c r="J342" s="21" t="s">
        <v>37</v>
      </c>
      <c r="K342" s="21">
        <v>1.55</v>
      </c>
      <c r="L342" s="4">
        <v>5.0</v>
      </c>
      <c r="M342" s="7" t="s">
        <v>34</v>
      </c>
      <c r="N342" s="22">
        <v>7.75</v>
      </c>
      <c r="O342" s="22">
        <f t="shared" si="10"/>
        <v>2.75</v>
      </c>
      <c r="P342" s="26">
        <f t="shared" si="9"/>
        <v>344.2</v>
      </c>
      <c r="Q342" s="26">
        <f t="shared" si="7"/>
        <v>-30.81</v>
      </c>
      <c r="R342" s="27">
        <f t="shared" si="8"/>
        <v>-0.08213333333</v>
      </c>
      <c r="S342" s="24" t="s">
        <v>244</v>
      </c>
      <c r="T342" s="24" t="s">
        <v>36</v>
      </c>
      <c r="U342" s="28" t="str">
        <f t="shared" si="3"/>
        <v>Monday</v>
      </c>
      <c r="V342" s="7" t="s">
        <v>249</v>
      </c>
    </row>
    <row r="343">
      <c r="A343" s="7">
        <v>343.0</v>
      </c>
      <c r="B343" s="20">
        <v>45935.0</v>
      </c>
      <c r="C343" s="7">
        <v>7.0</v>
      </c>
      <c r="D343" s="7" t="s">
        <v>37</v>
      </c>
      <c r="F343" s="7" t="s">
        <v>41</v>
      </c>
      <c r="H343" s="7" t="s">
        <v>55</v>
      </c>
      <c r="I343" s="7" t="s">
        <v>85</v>
      </c>
      <c r="J343" s="21" t="s">
        <v>37</v>
      </c>
      <c r="K343" s="21">
        <v>1.67</v>
      </c>
      <c r="L343" s="4">
        <v>5.0</v>
      </c>
      <c r="M343" s="7" t="s">
        <v>34</v>
      </c>
      <c r="N343" s="22">
        <v>8.35</v>
      </c>
      <c r="O343" s="22">
        <f t="shared" si="10"/>
        <v>3.35</v>
      </c>
      <c r="P343" s="26">
        <f t="shared" si="9"/>
        <v>347.55</v>
      </c>
      <c r="Q343" s="26">
        <f t="shared" si="7"/>
        <v>-27.46</v>
      </c>
      <c r="R343" s="27">
        <f t="shared" si="8"/>
        <v>-0.0732</v>
      </c>
      <c r="S343" s="24" t="s">
        <v>244</v>
      </c>
      <c r="T343" s="24" t="s">
        <v>36</v>
      </c>
      <c r="U343" s="28" t="str">
        <f t="shared" si="3"/>
        <v>Sunday</v>
      </c>
      <c r="V343" s="7" t="s">
        <v>245</v>
      </c>
    </row>
    <row r="344">
      <c r="A344" s="7">
        <v>344.0</v>
      </c>
      <c r="B344" s="20">
        <v>45936.0</v>
      </c>
      <c r="C344" s="7">
        <v>7.0</v>
      </c>
      <c r="D344" s="7" t="s">
        <v>42</v>
      </c>
      <c r="F344" s="7" t="s">
        <v>246</v>
      </c>
      <c r="H344" s="7" t="s">
        <v>33</v>
      </c>
      <c r="I344" s="7" t="s">
        <v>42</v>
      </c>
      <c r="J344" s="21" t="s">
        <v>42</v>
      </c>
      <c r="K344" s="21">
        <v>1.53</v>
      </c>
      <c r="L344" s="4">
        <v>5.0</v>
      </c>
      <c r="M344" s="7" t="s">
        <v>34</v>
      </c>
      <c r="N344" s="22">
        <v>7.65</v>
      </c>
      <c r="O344" s="22">
        <f t="shared" si="10"/>
        <v>2.65</v>
      </c>
      <c r="P344" s="26">
        <f t="shared" si="9"/>
        <v>350.2</v>
      </c>
      <c r="Q344" s="26">
        <f t="shared" si="7"/>
        <v>-24.81</v>
      </c>
      <c r="R344" s="27">
        <f t="shared" si="8"/>
        <v>-0.06613333333</v>
      </c>
      <c r="S344" s="24" t="s">
        <v>244</v>
      </c>
      <c r="T344" s="24" t="s">
        <v>36</v>
      </c>
      <c r="U344" s="28" t="str">
        <f t="shared" si="3"/>
        <v>Monday</v>
      </c>
      <c r="V344" s="7" t="s">
        <v>247</v>
      </c>
    </row>
    <row r="345">
      <c r="A345" s="7">
        <v>345.0</v>
      </c>
      <c r="B345" s="20">
        <v>45936.0</v>
      </c>
      <c r="C345" s="7">
        <v>7.0</v>
      </c>
      <c r="D345" s="7" t="s">
        <v>57</v>
      </c>
      <c r="F345" s="7" t="s">
        <v>46</v>
      </c>
      <c r="H345" s="7" t="s">
        <v>52</v>
      </c>
      <c r="I345" s="7" t="s">
        <v>46</v>
      </c>
      <c r="J345" s="21" t="s">
        <v>46</v>
      </c>
      <c r="K345" s="21">
        <v>2.0</v>
      </c>
      <c r="L345" s="4">
        <v>5.0</v>
      </c>
      <c r="M345" s="7" t="s">
        <v>44</v>
      </c>
      <c r="N345" s="22">
        <v>0.0</v>
      </c>
      <c r="O345" s="22">
        <f t="shared" si="10"/>
        <v>-5</v>
      </c>
      <c r="P345" s="26">
        <f t="shared" si="9"/>
        <v>345.2</v>
      </c>
      <c r="Q345" s="26">
        <f t="shared" si="7"/>
        <v>-29.81</v>
      </c>
      <c r="R345" s="27">
        <f t="shared" si="8"/>
        <v>-0.07946666667</v>
      </c>
      <c r="S345" s="24" t="s">
        <v>244</v>
      </c>
      <c r="T345" s="24" t="s">
        <v>36</v>
      </c>
      <c r="U345" s="28" t="str">
        <f t="shared" si="3"/>
        <v>Monday</v>
      </c>
      <c r="V345" s="7" t="s">
        <v>249</v>
      </c>
    </row>
    <row r="346">
      <c r="A346" s="7">
        <v>346.0</v>
      </c>
      <c r="B346" s="20">
        <v>45940.0</v>
      </c>
      <c r="D346" s="7" t="s">
        <v>174</v>
      </c>
      <c r="F346" s="7" t="s">
        <v>75</v>
      </c>
      <c r="H346" s="7" t="s">
        <v>253</v>
      </c>
      <c r="I346" s="7" t="s">
        <v>75</v>
      </c>
      <c r="J346" s="21" t="s">
        <v>75</v>
      </c>
      <c r="K346" s="21">
        <v>2.5</v>
      </c>
      <c r="L346" s="4">
        <v>5.0</v>
      </c>
      <c r="M346" s="7" t="s">
        <v>44</v>
      </c>
      <c r="N346" s="22">
        <v>0.0</v>
      </c>
      <c r="O346" s="22">
        <f t="shared" si="10"/>
        <v>-5</v>
      </c>
      <c r="P346" s="26">
        <f t="shared" si="9"/>
        <v>340.2</v>
      </c>
      <c r="Q346" s="26">
        <f t="shared" si="7"/>
        <v>-34.81</v>
      </c>
      <c r="R346" s="27">
        <f t="shared" si="8"/>
        <v>-0.0928</v>
      </c>
      <c r="S346" s="24" t="s">
        <v>252</v>
      </c>
      <c r="T346" s="24" t="s">
        <v>36</v>
      </c>
      <c r="U346" s="28" t="str">
        <f t="shared" si="3"/>
        <v>Friday</v>
      </c>
    </row>
    <row r="347">
      <c r="A347" s="7">
        <v>347.0</v>
      </c>
      <c r="B347" s="20">
        <v>45949.0</v>
      </c>
      <c r="C347" s="7">
        <v>8.0</v>
      </c>
      <c r="D347" s="7" t="s">
        <v>78</v>
      </c>
      <c r="F347" s="7" t="s">
        <v>69</v>
      </c>
      <c r="H347" s="7" t="s">
        <v>52</v>
      </c>
      <c r="I347" s="7" t="s">
        <v>69</v>
      </c>
      <c r="J347" s="21" t="s">
        <v>69</v>
      </c>
      <c r="K347" s="21">
        <v>1.4</v>
      </c>
      <c r="L347" s="4">
        <v>5.0</v>
      </c>
      <c r="M347" s="7" t="s">
        <v>34</v>
      </c>
      <c r="N347" s="22">
        <v>7.0</v>
      </c>
      <c r="O347" s="22">
        <f t="shared" si="10"/>
        <v>2</v>
      </c>
      <c r="P347" s="26">
        <f t="shared" si="9"/>
        <v>342.2</v>
      </c>
      <c r="Q347" s="26">
        <f t="shared" si="7"/>
        <v>-32.81</v>
      </c>
      <c r="R347" s="27">
        <f t="shared" si="8"/>
        <v>-0.08746666667</v>
      </c>
      <c r="S347" s="24" t="s">
        <v>244</v>
      </c>
      <c r="T347" s="24" t="s">
        <v>36</v>
      </c>
      <c r="U347" s="28" t="str">
        <f t="shared" si="3"/>
        <v>Sunday</v>
      </c>
      <c r="V347" s="7" t="s">
        <v>245</v>
      </c>
    </row>
    <row r="348">
      <c r="A348" s="7">
        <v>348.0</v>
      </c>
      <c r="B348" s="20">
        <v>45949.0</v>
      </c>
      <c r="C348" s="7">
        <v>8.0</v>
      </c>
      <c r="D348" s="7" t="s">
        <v>53</v>
      </c>
      <c r="F348" s="7" t="s">
        <v>57</v>
      </c>
      <c r="H348" s="7" t="s">
        <v>33</v>
      </c>
      <c r="I348" s="7" t="s">
        <v>157</v>
      </c>
      <c r="J348" s="21" t="s">
        <v>53</v>
      </c>
      <c r="K348" s="21">
        <v>1.4</v>
      </c>
      <c r="L348" s="4">
        <v>5.0</v>
      </c>
      <c r="M348" s="7" t="s">
        <v>34</v>
      </c>
      <c r="N348" s="22">
        <v>7.0</v>
      </c>
      <c r="O348" s="22">
        <f t="shared" si="10"/>
        <v>2</v>
      </c>
      <c r="P348" s="26">
        <f t="shared" si="9"/>
        <v>344.2</v>
      </c>
      <c r="Q348" s="26">
        <f t="shared" si="7"/>
        <v>-30.81</v>
      </c>
      <c r="R348" s="27">
        <f t="shared" si="8"/>
        <v>-0.08213333333</v>
      </c>
      <c r="S348" s="24" t="s">
        <v>244</v>
      </c>
      <c r="T348" s="24" t="s">
        <v>36</v>
      </c>
      <c r="U348" s="28" t="str">
        <f t="shared" si="3"/>
        <v>Sunday</v>
      </c>
      <c r="V348" s="7" t="s">
        <v>247</v>
      </c>
    </row>
    <row r="349">
      <c r="A349" s="7">
        <v>349.0</v>
      </c>
      <c r="B349" s="20">
        <v>45950.0</v>
      </c>
      <c r="C349" s="7">
        <v>8.0</v>
      </c>
      <c r="D349" s="7" t="s">
        <v>61</v>
      </c>
      <c r="F349" s="7" t="s">
        <v>31</v>
      </c>
      <c r="H349" s="7" t="s">
        <v>33</v>
      </c>
      <c r="I349" s="7" t="s">
        <v>61</v>
      </c>
      <c r="J349" s="21" t="s">
        <v>61</v>
      </c>
      <c r="K349" s="21">
        <v>1.6</v>
      </c>
      <c r="L349" s="4">
        <v>5.0</v>
      </c>
      <c r="M349" s="7" t="s">
        <v>44</v>
      </c>
      <c r="N349" s="22">
        <v>0.0</v>
      </c>
      <c r="O349" s="22">
        <f t="shared" si="10"/>
        <v>-5</v>
      </c>
      <c r="P349" s="26">
        <f t="shared" si="9"/>
        <v>339.2</v>
      </c>
      <c r="Q349" s="26">
        <f t="shared" si="7"/>
        <v>-35.81</v>
      </c>
      <c r="R349" s="27">
        <f t="shared" si="8"/>
        <v>-0.09546666667</v>
      </c>
      <c r="S349" s="24" t="s">
        <v>244</v>
      </c>
      <c r="T349" s="24" t="s">
        <v>36</v>
      </c>
      <c r="U349" s="28" t="str">
        <f t="shared" si="3"/>
        <v>Monday</v>
      </c>
      <c r="V349" s="7" t="s">
        <v>249</v>
      </c>
    </row>
    <row r="350">
      <c r="A350" s="7">
        <v>350.0</v>
      </c>
      <c r="B350" s="20">
        <v>45956.0</v>
      </c>
      <c r="C350" s="7">
        <v>9.0</v>
      </c>
      <c r="D350" s="7" t="s">
        <v>45</v>
      </c>
      <c r="F350" s="7" t="s">
        <v>61</v>
      </c>
      <c r="H350" s="7" t="s">
        <v>82</v>
      </c>
      <c r="I350" s="7" t="s">
        <v>83</v>
      </c>
      <c r="J350" s="7" t="s">
        <v>61</v>
      </c>
      <c r="K350" s="30">
        <v>1.55</v>
      </c>
      <c r="L350" s="4">
        <v>5.0</v>
      </c>
      <c r="M350" s="7" t="s">
        <v>34</v>
      </c>
      <c r="N350" s="22">
        <v>9.0</v>
      </c>
      <c r="O350" s="22">
        <f t="shared" si="10"/>
        <v>4</v>
      </c>
      <c r="P350" s="26">
        <f t="shared" si="9"/>
        <v>343.2</v>
      </c>
      <c r="Q350" s="26">
        <f t="shared" si="7"/>
        <v>-31.81</v>
      </c>
      <c r="R350" s="27">
        <f t="shared" si="8"/>
        <v>-0.0848</v>
      </c>
      <c r="S350" s="24" t="s">
        <v>244</v>
      </c>
      <c r="T350" s="24" t="s">
        <v>36</v>
      </c>
      <c r="U350" s="28" t="str">
        <f t="shared" si="3"/>
        <v>Sunday</v>
      </c>
      <c r="V350" s="7" t="s">
        <v>249</v>
      </c>
    </row>
    <row r="351">
      <c r="A351" s="7">
        <v>351.0</v>
      </c>
      <c r="B351" s="20">
        <v>45957.0</v>
      </c>
      <c r="C351" s="7">
        <v>9.0</v>
      </c>
      <c r="D351" s="7" t="s">
        <v>37</v>
      </c>
      <c r="F351" s="7" t="s">
        <v>46</v>
      </c>
      <c r="H351" s="7" t="s">
        <v>33</v>
      </c>
      <c r="I351" s="7" t="s">
        <v>37</v>
      </c>
      <c r="J351" s="21" t="s">
        <v>37</v>
      </c>
      <c r="K351" s="21">
        <v>1.44</v>
      </c>
      <c r="L351" s="4">
        <v>5.0</v>
      </c>
      <c r="M351" s="7" t="s">
        <v>34</v>
      </c>
      <c r="N351" s="22">
        <v>7.2</v>
      </c>
      <c r="O351" s="22">
        <f t="shared" si="10"/>
        <v>2.2</v>
      </c>
      <c r="P351" s="26">
        <f t="shared" si="9"/>
        <v>345.4</v>
      </c>
      <c r="Q351" s="26">
        <f t="shared" si="7"/>
        <v>-29.61</v>
      </c>
      <c r="R351" s="27">
        <f t="shared" si="8"/>
        <v>-0.07893333333</v>
      </c>
      <c r="S351" s="24" t="s">
        <v>244</v>
      </c>
      <c r="T351" s="24" t="s">
        <v>36</v>
      </c>
      <c r="U351" s="28" t="str">
        <f t="shared" si="3"/>
        <v>Monday</v>
      </c>
      <c r="V351" s="7" t="s">
        <v>245</v>
      </c>
    </row>
    <row r="352">
      <c r="A352" s="7">
        <v>352.0</v>
      </c>
      <c r="B352" s="20">
        <v>45957.0</v>
      </c>
      <c r="C352" s="7">
        <v>9.0</v>
      </c>
      <c r="D352" s="7" t="s">
        <v>37</v>
      </c>
      <c r="F352" s="7" t="s">
        <v>46</v>
      </c>
      <c r="H352" s="7" t="s">
        <v>33</v>
      </c>
      <c r="I352" s="7" t="s">
        <v>37</v>
      </c>
      <c r="J352" s="21" t="s">
        <v>37</v>
      </c>
      <c r="K352" s="21">
        <v>1.44</v>
      </c>
      <c r="L352" s="4">
        <v>5.0</v>
      </c>
      <c r="M352" s="7" t="s">
        <v>34</v>
      </c>
      <c r="N352" s="22">
        <v>7.2</v>
      </c>
      <c r="O352" s="22">
        <f t="shared" si="10"/>
        <v>2.2</v>
      </c>
      <c r="P352" s="26">
        <f t="shared" si="9"/>
        <v>347.6</v>
      </c>
      <c r="Q352" s="26">
        <f t="shared" si="7"/>
        <v>-27.41</v>
      </c>
      <c r="R352" s="27">
        <f t="shared" si="8"/>
        <v>-0.07306666667</v>
      </c>
      <c r="S352" s="24" t="s">
        <v>244</v>
      </c>
      <c r="T352" s="24" t="s">
        <v>36</v>
      </c>
      <c r="U352" s="28" t="str">
        <f t="shared" si="3"/>
        <v>Monday</v>
      </c>
      <c r="V352" s="7" t="s">
        <v>247</v>
      </c>
    </row>
    <row r="353">
      <c r="A353" s="7">
        <v>353.0</v>
      </c>
      <c r="B353" s="20">
        <v>45963.0</v>
      </c>
      <c r="C353" s="7">
        <v>10.0</v>
      </c>
      <c r="D353" s="7" t="s">
        <v>32</v>
      </c>
      <c r="F353" s="7" t="s">
        <v>38</v>
      </c>
      <c r="H353" s="7" t="s">
        <v>33</v>
      </c>
      <c r="I353" s="7" t="s">
        <v>32</v>
      </c>
      <c r="J353" s="21" t="s">
        <v>32</v>
      </c>
      <c r="K353" s="21">
        <v>1.8</v>
      </c>
      <c r="L353" s="4">
        <v>5.0</v>
      </c>
      <c r="M353" s="7" t="s">
        <v>34</v>
      </c>
      <c r="N353" s="22">
        <v>9.0</v>
      </c>
      <c r="O353" s="22">
        <f t="shared" si="10"/>
        <v>4</v>
      </c>
      <c r="P353" s="26">
        <f t="shared" si="9"/>
        <v>351.6</v>
      </c>
      <c r="Q353" s="26">
        <f t="shared" si="7"/>
        <v>-23.41</v>
      </c>
      <c r="R353" s="27">
        <f t="shared" si="8"/>
        <v>-0.0624</v>
      </c>
      <c r="S353" s="24" t="s">
        <v>244</v>
      </c>
      <c r="T353" s="24" t="s">
        <v>36</v>
      </c>
      <c r="U353" s="28" t="str">
        <f t="shared" si="3"/>
        <v>Sunday</v>
      </c>
      <c r="V353" s="7" t="s">
        <v>247</v>
      </c>
    </row>
    <row r="354">
      <c r="A354" s="7">
        <v>354.0</v>
      </c>
      <c r="B354" s="20">
        <v>45963.0</v>
      </c>
      <c r="C354" s="7">
        <v>10.0</v>
      </c>
      <c r="D354" s="7" t="s">
        <v>78</v>
      </c>
      <c r="F354" s="7" t="s">
        <v>31</v>
      </c>
      <c r="H354" s="7" t="s">
        <v>52</v>
      </c>
      <c r="I354" s="7" t="s">
        <v>31</v>
      </c>
      <c r="J354" s="21" t="s">
        <v>31</v>
      </c>
      <c r="K354" s="21">
        <v>1.53</v>
      </c>
      <c r="L354" s="4">
        <v>5.0</v>
      </c>
      <c r="M354" s="7" t="s">
        <v>95</v>
      </c>
      <c r="N354" s="22">
        <v>5.0</v>
      </c>
      <c r="O354" s="22">
        <f t="shared" si="10"/>
        <v>0</v>
      </c>
      <c r="P354" s="26">
        <f t="shared" si="9"/>
        <v>351.6</v>
      </c>
      <c r="Q354" s="26">
        <f t="shared" si="7"/>
        <v>-23.41</v>
      </c>
      <c r="R354" s="27">
        <f t="shared" si="8"/>
        <v>-0.0624</v>
      </c>
      <c r="S354" s="24" t="s">
        <v>244</v>
      </c>
      <c r="T354" s="24" t="s">
        <v>36</v>
      </c>
      <c r="U354" s="28" t="str">
        <f t="shared" si="3"/>
        <v>Sunday</v>
      </c>
      <c r="V354" s="7" t="s">
        <v>245</v>
      </c>
    </row>
    <row r="355">
      <c r="A355" s="7">
        <v>355.0</v>
      </c>
      <c r="B355" s="20">
        <v>45964.0</v>
      </c>
      <c r="C355" s="7">
        <v>10.0</v>
      </c>
      <c r="D355" s="7" t="s">
        <v>53</v>
      </c>
      <c r="F355" s="7" t="s">
        <v>58</v>
      </c>
      <c r="H355" s="7" t="s">
        <v>33</v>
      </c>
      <c r="I355" s="7" t="s">
        <v>53</v>
      </c>
      <c r="J355" s="21" t="s">
        <v>53</v>
      </c>
      <c r="K355" s="21">
        <v>1.5</v>
      </c>
      <c r="L355" s="4">
        <v>5.0</v>
      </c>
      <c r="M355" s="7" t="s">
        <v>34</v>
      </c>
      <c r="N355" s="22">
        <v>7.5</v>
      </c>
      <c r="O355" s="22">
        <f t="shared" si="10"/>
        <v>2.5</v>
      </c>
      <c r="P355" s="26">
        <f t="shared" si="9"/>
        <v>354.1</v>
      </c>
      <c r="Q355" s="26">
        <f t="shared" si="7"/>
        <v>-20.91</v>
      </c>
      <c r="R355" s="27">
        <f t="shared" si="8"/>
        <v>-0.05573333333</v>
      </c>
      <c r="S355" s="24" t="s">
        <v>244</v>
      </c>
      <c r="T355" s="24" t="s">
        <v>36</v>
      </c>
      <c r="U355" s="28" t="str">
        <f t="shared" si="3"/>
        <v>Monday</v>
      </c>
      <c r="V355" s="7" t="s">
        <v>249</v>
      </c>
    </row>
    <row r="356">
      <c r="A356" s="7">
        <v>356.0</v>
      </c>
      <c r="B356" s="20">
        <v>45970.0</v>
      </c>
      <c r="C356" s="7">
        <v>11.0</v>
      </c>
      <c r="D356" s="7" t="s">
        <v>250</v>
      </c>
      <c r="F356" s="7" t="s">
        <v>37</v>
      </c>
      <c r="H356" s="7" t="s">
        <v>33</v>
      </c>
      <c r="I356" s="7" t="s">
        <v>37</v>
      </c>
      <c r="J356" s="21" t="s">
        <v>37</v>
      </c>
      <c r="K356" s="21">
        <v>1.4</v>
      </c>
      <c r="L356" s="4">
        <v>5.0</v>
      </c>
      <c r="M356" s="7" t="s">
        <v>44</v>
      </c>
      <c r="N356" s="22">
        <v>0.0</v>
      </c>
      <c r="O356" s="22">
        <f t="shared" si="10"/>
        <v>-5</v>
      </c>
      <c r="P356" s="26">
        <f t="shared" si="9"/>
        <v>349.1</v>
      </c>
      <c r="Q356" s="26">
        <f t="shared" si="7"/>
        <v>-25.91</v>
      </c>
      <c r="R356" s="27">
        <f t="shared" si="8"/>
        <v>-0.06906666667</v>
      </c>
      <c r="S356" s="24" t="s">
        <v>244</v>
      </c>
      <c r="T356" s="24" t="s">
        <v>36</v>
      </c>
      <c r="U356" s="28" t="str">
        <f t="shared" si="3"/>
        <v>Sunday</v>
      </c>
      <c r="V356" s="7" t="s">
        <v>245</v>
      </c>
    </row>
    <row r="357">
      <c r="A357" s="7">
        <v>357.0</v>
      </c>
      <c r="B357" s="20">
        <v>45970.0</v>
      </c>
      <c r="C357" s="7">
        <v>11.0</v>
      </c>
      <c r="D357" s="7" t="s">
        <v>69</v>
      </c>
      <c r="F357" s="7" t="s">
        <v>38</v>
      </c>
      <c r="H357" s="7" t="s">
        <v>33</v>
      </c>
      <c r="I357" s="7" t="s">
        <v>69</v>
      </c>
      <c r="J357" s="21" t="s">
        <v>69</v>
      </c>
      <c r="K357" s="21">
        <v>1.36</v>
      </c>
      <c r="L357" s="4">
        <v>5.0</v>
      </c>
      <c r="M357" s="7" t="s">
        <v>34</v>
      </c>
      <c r="N357" s="22">
        <v>6.8</v>
      </c>
      <c r="O357" s="22">
        <f t="shared" si="10"/>
        <v>1.8</v>
      </c>
      <c r="P357" s="26">
        <f t="shared" si="9"/>
        <v>350.9</v>
      </c>
      <c r="Q357" s="26">
        <f t="shared" si="7"/>
        <v>-24.11</v>
      </c>
      <c r="R357" s="27">
        <f t="shared" si="8"/>
        <v>-0.06426666667</v>
      </c>
      <c r="S357" s="24" t="s">
        <v>244</v>
      </c>
      <c r="T357" s="24" t="s">
        <v>36</v>
      </c>
      <c r="U357" s="28" t="str">
        <f t="shared" si="3"/>
        <v>Sunday</v>
      </c>
      <c r="V357" s="7" t="s">
        <v>247</v>
      </c>
    </row>
    <row r="358">
      <c r="A358" s="7">
        <v>358.0</v>
      </c>
      <c r="B358" s="20">
        <v>45971.0</v>
      </c>
      <c r="C358" s="7">
        <v>11.0</v>
      </c>
      <c r="D358" s="7" t="s">
        <v>46</v>
      </c>
      <c r="F358" s="7" t="s">
        <v>51</v>
      </c>
      <c r="H358" s="7" t="s">
        <v>52</v>
      </c>
      <c r="I358" s="7" t="s">
        <v>46</v>
      </c>
      <c r="J358" s="21" t="s">
        <v>46</v>
      </c>
      <c r="K358" s="21">
        <v>1.62</v>
      </c>
      <c r="L358" s="4">
        <v>5.0</v>
      </c>
      <c r="M358" s="7" t="s">
        <v>95</v>
      </c>
      <c r="N358" s="22">
        <v>5.0</v>
      </c>
      <c r="O358" s="22">
        <f t="shared" si="10"/>
        <v>0</v>
      </c>
      <c r="P358" s="26">
        <f t="shared" si="9"/>
        <v>350.9</v>
      </c>
      <c r="Q358" s="26">
        <f t="shared" si="7"/>
        <v>-24.11</v>
      </c>
      <c r="R358" s="27">
        <f t="shared" si="8"/>
        <v>-0.06426666667</v>
      </c>
      <c r="S358" s="24" t="s">
        <v>244</v>
      </c>
      <c r="T358" s="24" t="s">
        <v>36</v>
      </c>
      <c r="U358" s="28" t="str">
        <f t="shared" si="3"/>
        <v>Monday</v>
      </c>
      <c r="V358" s="7" t="s">
        <v>249</v>
      </c>
    </row>
    <row r="359">
      <c r="A359" s="7">
        <v>359.0</v>
      </c>
      <c r="B359" s="20">
        <v>45984.0</v>
      </c>
      <c r="C359" s="7">
        <v>12.0</v>
      </c>
      <c r="D359" s="7" t="s">
        <v>38</v>
      </c>
      <c r="F359" s="7" t="s">
        <v>46</v>
      </c>
      <c r="H359" s="7" t="s">
        <v>52</v>
      </c>
      <c r="I359" s="7" t="s">
        <v>46</v>
      </c>
      <c r="J359" s="21" t="s">
        <v>46</v>
      </c>
      <c r="K359" s="21">
        <v>1.44</v>
      </c>
      <c r="L359" s="4">
        <v>5.0</v>
      </c>
      <c r="M359" s="7" t="s">
        <v>34</v>
      </c>
      <c r="N359" s="22">
        <v>7.2</v>
      </c>
      <c r="O359" s="22">
        <f t="shared" si="10"/>
        <v>2.2</v>
      </c>
      <c r="P359" s="26">
        <f t="shared" si="9"/>
        <v>353.1</v>
      </c>
      <c r="Q359" s="26">
        <f t="shared" si="7"/>
        <v>-21.91</v>
      </c>
      <c r="R359" s="27">
        <f t="shared" si="8"/>
        <v>-0.0584</v>
      </c>
      <c r="S359" s="24" t="s">
        <v>244</v>
      </c>
      <c r="T359" s="24" t="s">
        <v>36</v>
      </c>
      <c r="U359" s="28" t="str">
        <f t="shared" si="3"/>
        <v>Sunday</v>
      </c>
      <c r="V359" s="7" t="s">
        <v>245</v>
      </c>
    </row>
    <row r="360">
      <c r="A360" s="7">
        <v>360.0</v>
      </c>
      <c r="B360" s="20">
        <v>45984.0</v>
      </c>
      <c r="C360" s="7">
        <v>12.0</v>
      </c>
      <c r="D360" s="7" t="s">
        <v>61</v>
      </c>
      <c r="F360" s="7" t="s">
        <v>100</v>
      </c>
      <c r="H360" s="7" t="s">
        <v>33</v>
      </c>
      <c r="I360" s="7" t="s">
        <v>61</v>
      </c>
      <c r="J360" s="21" t="s">
        <v>61</v>
      </c>
      <c r="K360" s="21">
        <v>1.4</v>
      </c>
      <c r="L360" s="4">
        <v>5.0</v>
      </c>
      <c r="M360" s="7" t="s">
        <v>44</v>
      </c>
      <c r="N360" s="22">
        <v>0.0</v>
      </c>
      <c r="O360" s="22">
        <f t="shared" si="10"/>
        <v>-5</v>
      </c>
      <c r="P360" s="26">
        <f t="shared" si="9"/>
        <v>348.1</v>
      </c>
      <c r="Q360" s="26">
        <f t="shared" si="7"/>
        <v>-26.91</v>
      </c>
      <c r="R360" s="27">
        <f t="shared" si="8"/>
        <v>-0.07173333333</v>
      </c>
      <c r="S360" s="24" t="s">
        <v>244</v>
      </c>
      <c r="T360" s="24" t="s">
        <v>36</v>
      </c>
      <c r="U360" s="28" t="str">
        <f t="shared" si="3"/>
        <v>Sunday</v>
      </c>
      <c r="V360" s="7" t="s">
        <v>247</v>
      </c>
    </row>
    <row r="361">
      <c r="A361" s="7">
        <v>361.0</v>
      </c>
      <c r="B361" s="20">
        <v>45985.0</v>
      </c>
      <c r="C361" s="7">
        <v>12.0</v>
      </c>
      <c r="D361" s="7" t="s">
        <v>248</v>
      </c>
      <c r="F361" s="7" t="s">
        <v>42</v>
      </c>
      <c r="H361" s="7" t="s">
        <v>52</v>
      </c>
      <c r="I361" s="7" t="s">
        <v>42</v>
      </c>
      <c r="J361" s="21" t="s">
        <v>42</v>
      </c>
      <c r="K361" s="21">
        <v>1.62</v>
      </c>
      <c r="L361" s="4">
        <v>5.0</v>
      </c>
      <c r="M361" s="7" t="s">
        <v>34</v>
      </c>
      <c r="N361" s="22">
        <v>8.1</v>
      </c>
      <c r="O361" s="22">
        <f t="shared" si="10"/>
        <v>3.1</v>
      </c>
      <c r="P361" s="26">
        <f t="shared" si="9"/>
        <v>351.2</v>
      </c>
      <c r="Q361" s="26">
        <f t="shared" si="7"/>
        <v>-23.81</v>
      </c>
      <c r="R361" s="27">
        <f t="shared" si="8"/>
        <v>-0.06346666667</v>
      </c>
      <c r="S361" s="24" t="s">
        <v>244</v>
      </c>
      <c r="T361" s="24" t="s">
        <v>36</v>
      </c>
      <c r="U361" s="28" t="str">
        <f t="shared" si="3"/>
        <v>Monday</v>
      </c>
      <c r="V361" s="7" t="s">
        <v>249</v>
      </c>
    </row>
    <row r="362">
      <c r="A362" s="7">
        <v>362.0</v>
      </c>
      <c r="B362" s="20">
        <v>45985.0</v>
      </c>
      <c r="C362" s="7">
        <v>12.0</v>
      </c>
      <c r="D362" s="7" t="s">
        <v>70</v>
      </c>
      <c r="F362" s="7" t="s">
        <v>70</v>
      </c>
      <c r="H362" s="7" t="s">
        <v>254</v>
      </c>
      <c r="I362" s="7" t="s">
        <v>194</v>
      </c>
      <c r="J362" s="21" t="s">
        <v>255</v>
      </c>
      <c r="K362" s="21">
        <v>3.26</v>
      </c>
      <c r="L362" s="4">
        <v>1.0</v>
      </c>
      <c r="M362" s="7" t="s">
        <v>44</v>
      </c>
      <c r="N362" s="22">
        <v>0.0</v>
      </c>
      <c r="O362" s="22">
        <f t="shared" si="10"/>
        <v>-1</v>
      </c>
      <c r="P362" s="26">
        <f t="shared" si="9"/>
        <v>350.2</v>
      </c>
      <c r="Q362" s="26">
        <f t="shared" si="7"/>
        <v>-24.81</v>
      </c>
      <c r="R362" s="27">
        <f t="shared" si="8"/>
        <v>-0.06613333333</v>
      </c>
      <c r="S362" s="24" t="s">
        <v>244</v>
      </c>
      <c r="T362" s="24" t="s">
        <v>36</v>
      </c>
      <c r="U362" s="28" t="str">
        <f t="shared" si="3"/>
        <v>Monday</v>
      </c>
    </row>
    <row r="363">
      <c r="A363" s="7">
        <v>363.0</v>
      </c>
      <c r="B363" s="20">
        <v>45992.0</v>
      </c>
      <c r="C363" s="7">
        <v>13.0</v>
      </c>
      <c r="D363" s="7" t="s">
        <v>69</v>
      </c>
      <c r="F363" s="7" t="s">
        <v>37</v>
      </c>
      <c r="H363" s="7" t="s">
        <v>82</v>
      </c>
      <c r="I363" s="7" t="s">
        <v>83</v>
      </c>
      <c r="J363" s="21" t="s">
        <v>37</v>
      </c>
      <c r="K363" s="21">
        <v>2.4</v>
      </c>
      <c r="L363" s="4">
        <v>5.0</v>
      </c>
      <c r="M363" s="7" t="s">
        <v>34</v>
      </c>
      <c r="N363" s="22">
        <v>12.0</v>
      </c>
      <c r="O363" s="22">
        <f t="shared" si="10"/>
        <v>7</v>
      </c>
      <c r="P363" s="26">
        <f t="shared" si="9"/>
        <v>357.2</v>
      </c>
      <c r="Q363" s="26">
        <f t="shared" si="7"/>
        <v>-17.81</v>
      </c>
      <c r="R363" s="27">
        <f t="shared" si="8"/>
        <v>-0.04746666667</v>
      </c>
      <c r="S363" s="24" t="s">
        <v>244</v>
      </c>
      <c r="T363" s="24" t="s">
        <v>36</v>
      </c>
      <c r="U363" s="28" t="str">
        <f t="shared" si="3"/>
        <v>Monday</v>
      </c>
      <c r="V363" s="7" t="s">
        <v>245</v>
      </c>
    </row>
    <row r="364">
      <c r="A364" s="7">
        <v>364.0</v>
      </c>
      <c r="B364" s="20">
        <v>45992.0</v>
      </c>
      <c r="C364" s="7">
        <v>13.0</v>
      </c>
      <c r="D364" s="7" t="s">
        <v>50</v>
      </c>
      <c r="F364" s="7" t="s">
        <v>32</v>
      </c>
      <c r="H364" s="7" t="s">
        <v>52</v>
      </c>
      <c r="I364" s="7" t="s">
        <v>50</v>
      </c>
      <c r="J364" s="21" t="s">
        <v>50</v>
      </c>
      <c r="K364" s="21">
        <v>1.55</v>
      </c>
      <c r="L364" s="4">
        <v>5.0</v>
      </c>
      <c r="M364" s="7" t="s">
        <v>44</v>
      </c>
      <c r="N364" s="22">
        <v>0.0</v>
      </c>
      <c r="O364" s="22">
        <f t="shared" si="10"/>
        <v>-5</v>
      </c>
      <c r="P364" s="26">
        <f t="shared" si="9"/>
        <v>352.2</v>
      </c>
      <c r="Q364" s="26">
        <f t="shared" si="7"/>
        <v>-22.81</v>
      </c>
      <c r="R364" s="27">
        <f t="shared" si="8"/>
        <v>-0.0608</v>
      </c>
      <c r="S364" s="24" t="s">
        <v>244</v>
      </c>
      <c r="T364" s="24" t="s">
        <v>36</v>
      </c>
      <c r="U364" s="28" t="str">
        <f t="shared" si="3"/>
        <v>Monday</v>
      </c>
      <c r="V364" s="7" t="s">
        <v>249</v>
      </c>
    </row>
    <row r="365">
      <c r="A365" s="7">
        <v>365.0</v>
      </c>
      <c r="B365" s="20">
        <v>45992.0</v>
      </c>
      <c r="C365" s="7">
        <v>13.0</v>
      </c>
      <c r="D365" s="7" t="s">
        <v>42</v>
      </c>
      <c r="F365" s="7" t="s">
        <v>38</v>
      </c>
      <c r="H365" s="7" t="s">
        <v>33</v>
      </c>
      <c r="I365" s="7" t="s">
        <v>42</v>
      </c>
      <c r="J365" s="21" t="s">
        <v>42</v>
      </c>
      <c r="K365" s="21">
        <v>1.52</v>
      </c>
      <c r="L365" s="4">
        <v>5.0</v>
      </c>
      <c r="M365" s="7" t="s">
        <v>34</v>
      </c>
      <c r="N365" s="22">
        <v>7.6</v>
      </c>
      <c r="O365" s="22">
        <f t="shared" si="10"/>
        <v>2.6</v>
      </c>
      <c r="P365" s="26">
        <f t="shared" si="9"/>
        <v>354.8</v>
      </c>
      <c r="Q365" s="26">
        <f t="shared" si="7"/>
        <v>-20.21</v>
      </c>
      <c r="R365" s="27">
        <f t="shared" si="8"/>
        <v>-0.05386666667</v>
      </c>
      <c r="S365" s="24" t="s">
        <v>244</v>
      </c>
      <c r="T365" s="24" t="s">
        <v>36</v>
      </c>
      <c r="U365" s="28" t="str">
        <f t="shared" si="3"/>
        <v>Monday</v>
      </c>
      <c r="V365" s="7" t="s">
        <v>247</v>
      </c>
    </row>
    <row r="366">
      <c r="A366" s="7">
        <v>366.0</v>
      </c>
      <c r="B366" s="20">
        <v>45992.0</v>
      </c>
      <c r="C366" s="7">
        <v>13.0</v>
      </c>
      <c r="D366" s="7" t="s">
        <v>70</v>
      </c>
      <c r="F366" s="7" t="s">
        <v>70</v>
      </c>
      <c r="H366" s="7" t="s">
        <v>256</v>
      </c>
      <c r="I366" s="7" t="s">
        <v>70</v>
      </c>
      <c r="J366" s="21" t="s">
        <v>255</v>
      </c>
      <c r="K366" s="21">
        <v>4.1</v>
      </c>
      <c r="L366" s="4">
        <v>1.0</v>
      </c>
      <c r="M366" s="7" t="s">
        <v>44</v>
      </c>
      <c r="N366" s="22">
        <v>0.0</v>
      </c>
      <c r="O366" s="22">
        <f t="shared" si="10"/>
        <v>-1</v>
      </c>
      <c r="P366" s="26">
        <f t="shared" si="9"/>
        <v>353.8</v>
      </c>
      <c r="Q366" s="26">
        <f t="shared" si="7"/>
        <v>-21.21</v>
      </c>
      <c r="R366" s="27">
        <f t="shared" si="8"/>
        <v>-0.05653333333</v>
      </c>
      <c r="S366" s="24" t="s">
        <v>244</v>
      </c>
      <c r="T366" s="24" t="s">
        <v>36</v>
      </c>
      <c r="U366" s="28" t="str">
        <f t="shared" si="3"/>
        <v>Monday</v>
      </c>
    </row>
    <row r="367">
      <c r="A367" s="7">
        <v>367.0</v>
      </c>
      <c r="B367" s="20">
        <v>45998.0</v>
      </c>
      <c r="C367" s="7">
        <v>15.0</v>
      </c>
      <c r="D367" s="7" t="s">
        <v>57</v>
      </c>
      <c r="F367" s="7" t="s">
        <v>78</v>
      </c>
      <c r="H367" s="7" t="s">
        <v>52</v>
      </c>
      <c r="I367" s="7" t="s">
        <v>78</v>
      </c>
      <c r="J367" s="21" t="s">
        <v>78</v>
      </c>
      <c r="K367" s="21">
        <v>2.4</v>
      </c>
      <c r="L367" s="4">
        <v>5.0</v>
      </c>
      <c r="M367" s="7" t="s">
        <v>44</v>
      </c>
      <c r="N367" s="22">
        <v>0.0</v>
      </c>
      <c r="O367" s="22">
        <f t="shared" si="10"/>
        <v>-5</v>
      </c>
      <c r="P367" s="26">
        <f t="shared" si="9"/>
        <v>348.8</v>
      </c>
      <c r="Q367" s="26">
        <f t="shared" si="7"/>
        <v>-26.21</v>
      </c>
      <c r="R367" s="27">
        <f t="shared" si="8"/>
        <v>-0.06986666667</v>
      </c>
      <c r="S367" s="24" t="s">
        <v>244</v>
      </c>
      <c r="T367" s="24" t="s">
        <v>36</v>
      </c>
      <c r="U367" s="28" t="str">
        <f t="shared" si="3"/>
        <v>Sunday</v>
      </c>
      <c r="V367" s="7" t="s">
        <v>247</v>
      </c>
    </row>
    <row r="368">
      <c r="A368" s="7">
        <v>368.0</v>
      </c>
      <c r="B368" s="20">
        <v>45999.0</v>
      </c>
      <c r="C368" s="7">
        <v>15.0</v>
      </c>
      <c r="D368" s="7" t="s">
        <v>32</v>
      </c>
      <c r="F368" s="7" t="s">
        <v>46</v>
      </c>
      <c r="H368" s="7" t="s">
        <v>82</v>
      </c>
      <c r="I368" s="7" t="s">
        <v>83</v>
      </c>
      <c r="J368" s="21" t="s">
        <v>46</v>
      </c>
      <c r="K368" s="21">
        <v>1.8</v>
      </c>
      <c r="L368" s="4">
        <v>5.0</v>
      </c>
      <c r="M368" s="7" t="s">
        <v>34</v>
      </c>
      <c r="N368" s="22">
        <v>9.0</v>
      </c>
      <c r="O368" s="22">
        <f t="shared" si="10"/>
        <v>4</v>
      </c>
      <c r="P368" s="26">
        <f t="shared" si="9"/>
        <v>352.8</v>
      </c>
      <c r="Q368" s="26">
        <f t="shared" si="7"/>
        <v>-22.21</v>
      </c>
      <c r="R368" s="27">
        <f t="shared" si="8"/>
        <v>-0.0592</v>
      </c>
      <c r="S368" s="24" t="s">
        <v>244</v>
      </c>
      <c r="T368" s="24" t="s">
        <v>36</v>
      </c>
      <c r="U368" s="28" t="str">
        <f t="shared" si="3"/>
        <v>Monday</v>
      </c>
      <c r="V368" s="7" t="s">
        <v>249</v>
      </c>
    </row>
    <row r="369">
      <c r="A369" s="7">
        <v>369.0</v>
      </c>
      <c r="B369" s="20">
        <v>46000.0</v>
      </c>
      <c r="C369" s="7">
        <v>15.0</v>
      </c>
      <c r="D369" s="7" t="s">
        <v>38</v>
      </c>
      <c r="F369" s="7" t="s">
        <v>31</v>
      </c>
      <c r="H369" s="7" t="s">
        <v>33</v>
      </c>
      <c r="I369" s="7" t="s">
        <v>31</v>
      </c>
      <c r="J369" s="21" t="s">
        <v>31</v>
      </c>
      <c r="K369" s="21">
        <v>1.78</v>
      </c>
      <c r="L369" s="4">
        <v>5.0</v>
      </c>
      <c r="M369" s="7" t="s">
        <v>34</v>
      </c>
      <c r="N369" s="22">
        <v>8.9</v>
      </c>
      <c r="O369" s="22">
        <f t="shared" si="10"/>
        <v>3.9</v>
      </c>
      <c r="P369" s="26">
        <f t="shared" si="9"/>
        <v>356.7</v>
      </c>
      <c r="Q369" s="26">
        <f t="shared" si="7"/>
        <v>-18.31</v>
      </c>
      <c r="R369" s="27">
        <f t="shared" si="8"/>
        <v>-0.0488</v>
      </c>
      <c r="S369" s="24" t="s">
        <v>244</v>
      </c>
      <c r="T369" s="24" t="s">
        <v>36</v>
      </c>
      <c r="U369" s="28" t="str">
        <f t="shared" si="3"/>
        <v>Tuesday</v>
      </c>
      <c r="V369" s="7" t="s">
        <v>245</v>
      </c>
    </row>
    <row r="370">
      <c r="A370" s="7">
        <v>370.0</v>
      </c>
      <c r="B370" s="20">
        <v>46000.0</v>
      </c>
      <c r="C370" s="7">
        <v>15.0</v>
      </c>
      <c r="D370" s="7" t="s">
        <v>70</v>
      </c>
      <c r="F370" s="7" t="s">
        <v>70</v>
      </c>
      <c r="H370" s="7" t="s">
        <v>257</v>
      </c>
      <c r="I370" s="7" t="s">
        <v>70</v>
      </c>
      <c r="J370" s="21" t="s">
        <v>255</v>
      </c>
      <c r="K370" s="21">
        <v>7.96</v>
      </c>
      <c r="L370" s="4">
        <v>1.0</v>
      </c>
      <c r="M370" s="7" t="s">
        <v>44</v>
      </c>
      <c r="N370" s="22">
        <v>0.0</v>
      </c>
      <c r="O370" s="22">
        <f t="shared" si="10"/>
        <v>-1</v>
      </c>
      <c r="P370" s="26">
        <f t="shared" si="9"/>
        <v>355.7</v>
      </c>
      <c r="Q370" s="26">
        <f t="shared" si="7"/>
        <v>-19.31</v>
      </c>
      <c r="R370" s="27">
        <f t="shared" si="8"/>
        <v>-0.05146666667</v>
      </c>
      <c r="S370" s="24" t="s">
        <v>244</v>
      </c>
      <c r="T370" s="24" t="s">
        <v>36</v>
      </c>
      <c r="U370" s="28" t="str">
        <f t="shared" si="3"/>
        <v>Tuesday</v>
      </c>
    </row>
    <row r="371">
      <c r="A371" s="7">
        <v>371.0</v>
      </c>
      <c r="B371" s="20">
        <v>46005.0</v>
      </c>
      <c r="C371" s="7">
        <v>16.0</v>
      </c>
      <c r="D371" s="7" t="s">
        <v>69</v>
      </c>
      <c r="F371" s="7" t="s">
        <v>57</v>
      </c>
      <c r="H371" s="7" t="s">
        <v>52</v>
      </c>
      <c r="I371" s="7" t="s">
        <v>69</v>
      </c>
      <c r="J371" s="21" t="s">
        <v>69</v>
      </c>
      <c r="K371" s="21">
        <v>1.25</v>
      </c>
      <c r="L371" s="4">
        <v>5.0</v>
      </c>
      <c r="M371" s="7" t="s">
        <v>34</v>
      </c>
      <c r="N371" s="22">
        <v>6.25</v>
      </c>
      <c r="O371" s="22">
        <f t="shared" si="10"/>
        <v>1.25</v>
      </c>
      <c r="P371" s="26">
        <f t="shared" si="9"/>
        <v>356.95</v>
      </c>
      <c r="Q371" s="26">
        <f t="shared" si="7"/>
        <v>-18.06</v>
      </c>
      <c r="R371" s="27">
        <f t="shared" si="8"/>
        <v>-0.04813333333</v>
      </c>
      <c r="S371" s="24" t="s">
        <v>244</v>
      </c>
      <c r="T371" s="24" t="s">
        <v>36</v>
      </c>
      <c r="U371" s="28" t="str">
        <f t="shared" si="3"/>
        <v>Sunday</v>
      </c>
      <c r="V371" s="7" t="s">
        <v>247</v>
      </c>
    </row>
    <row r="372">
      <c r="A372" s="7">
        <v>372.0</v>
      </c>
      <c r="B372" s="20">
        <v>46005.0</v>
      </c>
      <c r="C372" s="7">
        <v>16.0</v>
      </c>
      <c r="D372" s="7" t="s">
        <v>246</v>
      </c>
      <c r="F372" s="7" t="s">
        <v>32</v>
      </c>
      <c r="H372" s="7" t="s">
        <v>33</v>
      </c>
      <c r="I372" s="7" t="s">
        <v>32</v>
      </c>
      <c r="J372" s="21" t="s">
        <v>32</v>
      </c>
      <c r="K372" s="21">
        <v>1.94</v>
      </c>
      <c r="L372" s="4">
        <v>5.0</v>
      </c>
      <c r="M372" s="7" t="s">
        <v>34</v>
      </c>
      <c r="N372" s="22">
        <v>9.7</v>
      </c>
      <c r="O372" s="22">
        <f t="shared" si="10"/>
        <v>4.7</v>
      </c>
      <c r="P372" s="26">
        <f t="shared" si="9"/>
        <v>361.65</v>
      </c>
      <c r="Q372" s="26">
        <f t="shared" si="7"/>
        <v>-13.36</v>
      </c>
      <c r="R372" s="27">
        <f t="shared" si="8"/>
        <v>-0.0356</v>
      </c>
      <c r="S372" s="24" t="s">
        <v>244</v>
      </c>
      <c r="T372" s="24" t="s">
        <v>36</v>
      </c>
      <c r="U372" s="28" t="str">
        <f t="shared" si="3"/>
        <v>Sunday</v>
      </c>
      <c r="V372" s="7" t="s">
        <v>249</v>
      </c>
    </row>
    <row r="373">
      <c r="A373" s="7">
        <v>373.0</v>
      </c>
      <c r="B373" s="20">
        <v>46005.0</v>
      </c>
      <c r="C373" s="7">
        <v>16.0</v>
      </c>
      <c r="D373" s="7" t="s">
        <v>37</v>
      </c>
      <c r="F373" s="7" t="s">
        <v>38</v>
      </c>
      <c r="H373" s="7" t="s">
        <v>55</v>
      </c>
      <c r="I373" s="7" t="s">
        <v>85</v>
      </c>
      <c r="J373" s="21" t="s">
        <v>37</v>
      </c>
      <c r="K373" s="21">
        <v>1.4</v>
      </c>
      <c r="L373" s="4">
        <v>5.0</v>
      </c>
      <c r="M373" s="7" t="s">
        <v>44</v>
      </c>
      <c r="N373" s="22">
        <v>0.0</v>
      </c>
      <c r="O373" s="22">
        <f t="shared" si="10"/>
        <v>-5</v>
      </c>
      <c r="P373" s="26">
        <f t="shared" si="9"/>
        <v>356.65</v>
      </c>
      <c r="Q373" s="26">
        <f t="shared" si="7"/>
        <v>-18.36</v>
      </c>
      <c r="R373" s="27">
        <f t="shared" si="8"/>
        <v>-0.04893333333</v>
      </c>
      <c r="S373" s="24" t="s">
        <v>244</v>
      </c>
      <c r="T373" s="24" t="s">
        <v>36</v>
      </c>
      <c r="U373" s="28" t="str">
        <f t="shared" si="3"/>
        <v>Sunday</v>
      </c>
      <c r="V373" s="7" t="s">
        <v>245</v>
      </c>
    </row>
    <row r="374">
      <c r="A374" s="7">
        <v>374.0</v>
      </c>
      <c r="B374" s="20">
        <v>46005.0</v>
      </c>
      <c r="C374" s="7">
        <v>16.0</v>
      </c>
      <c r="D374" s="7" t="s">
        <v>70</v>
      </c>
      <c r="F374" s="7" t="s">
        <v>70</v>
      </c>
      <c r="H374" s="7" t="s">
        <v>258</v>
      </c>
      <c r="I374" s="7" t="s">
        <v>70</v>
      </c>
      <c r="J374" s="21" t="s">
        <v>255</v>
      </c>
      <c r="K374" s="21">
        <v>3.46</v>
      </c>
      <c r="L374" s="4">
        <v>1.0</v>
      </c>
      <c r="M374" s="7" t="s">
        <v>44</v>
      </c>
      <c r="N374" s="22">
        <v>0.0</v>
      </c>
      <c r="O374" s="22">
        <f t="shared" si="10"/>
        <v>-1</v>
      </c>
      <c r="P374" s="26">
        <f t="shared" si="9"/>
        <v>355.65</v>
      </c>
      <c r="Q374" s="26">
        <f t="shared" si="7"/>
        <v>-19.36</v>
      </c>
      <c r="R374" s="27">
        <f t="shared" si="8"/>
        <v>-0.0516</v>
      </c>
      <c r="S374" s="24" t="s">
        <v>244</v>
      </c>
      <c r="T374" s="24" t="s">
        <v>36</v>
      </c>
      <c r="U374" s="28" t="str">
        <f t="shared" si="3"/>
        <v>Sunday</v>
      </c>
    </row>
    <row r="375">
      <c r="A375" s="7">
        <v>375.0</v>
      </c>
      <c r="B375" s="20">
        <v>46012.0</v>
      </c>
      <c r="C375" s="7">
        <v>17.0</v>
      </c>
      <c r="D375" s="7" t="s">
        <v>58</v>
      </c>
      <c r="F375" s="7" t="s">
        <v>246</v>
      </c>
      <c r="H375" s="7" t="s">
        <v>33</v>
      </c>
      <c r="I375" s="7" t="s">
        <v>58</v>
      </c>
      <c r="J375" s="21" t="s">
        <v>58</v>
      </c>
      <c r="K375" s="21">
        <v>1.48</v>
      </c>
      <c r="L375" s="4">
        <v>5.0</v>
      </c>
      <c r="M375" s="7" t="s">
        <v>44</v>
      </c>
      <c r="N375" s="22">
        <v>0.0</v>
      </c>
      <c r="O375" s="22">
        <f t="shared" si="10"/>
        <v>-5</v>
      </c>
      <c r="P375" s="26">
        <f t="shared" si="9"/>
        <v>350.65</v>
      </c>
      <c r="Q375" s="26">
        <f t="shared" si="7"/>
        <v>-24.36</v>
      </c>
      <c r="R375" s="27">
        <f t="shared" si="8"/>
        <v>-0.06493333333</v>
      </c>
      <c r="S375" s="24" t="s">
        <v>244</v>
      </c>
      <c r="T375" s="24" t="s">
        <v>36</v>
      </c>
      <c r="U375" s="28" t="str">
        <f t="shared" si="3"/>
        <v>Sunday</v>
      </c>
      <c r="V375" s="7" t="s">
        <v>245</v>
      </c>
    </row>
    <row r="376">
      <c r="A376" s="7">
        <v>376.0</v>
      </c>
      <c r="B376" s="20">
        <v>46012.0</v>
      </c>
      <c r="C376" s="7">
        <v>17.0</v>
      </c>
      <c r="D376" s="7" t="s">
        <v>58</v>
      </c>
      <c r="F376" s="7" t="s">
        <v>246</v>
      </c>
      <c r="H376" s="7" t="s">
        <v>33</v>
      </c>
      <c r="I376" s="7" t="s">
        <v>58</v>
      </c>
      <c r="J376" s="21" t="s">
        <v>58</v>
      </c>
      <c r="K376" s="21">
        <v>1.48</v>
      </c>
      <c r="L376" s="4">
        <v>5.0</v>
      </c>
      <c r="M376" s="7" t="s">
        <v>44</v>
      </c>
      <c r="N376" s="22">
        <v>0.0</v>
      </c>
      <c r="O376" s="22">
        <f t="shared" si="10"/>
        <v>-5</v>
      </c>
      <c r="P376" s="26">
        <f t="shared" si="9"/>
        <v>345.65</v>
      </c>
      <c r="Q376" s="26">
        <f t="shared" si="7"/>
        <v>-29.36</v>
      </c>
      <c r="R376" s="27">
        <f t="shared" si="8"/>
        <v>-0.07826666667</v>
      </c>
      <c r="S376" s="24" t="s">
        <v>244</v>
      </c>
      <c r="T376" s="24" t="s">
        <v>36</v>
      </c>
      <c r="U376" s="28" t="str">
        <f t="shared" si="3"/>
        <v>Sunday</v>
      </c>
      <c r="V376" s="7" t="s">
        <v>247</v>
      </c>
    </row>
    <row r="377">
      <c r="A377" s="7">
        <v>377.0</v>
      </c>
      <c r="B377" s="20">
        <v>46012.0</v>
      </c>
      <c r="C377" s="7">
        <v>17.0</v>
      </c>
      <c r="D377" s="7" t="s">
        <v>248</v>
      </c>
      <c r="F377" s="7" t="s">
        <v>46</v>
      </c>
      <c r="H377" s="7" t="s">
        <v>33</v>
      </c>
      <c r="I377" s="7" t="s">
        <v>46</v>
      </c>
      <c r="J377" s="21" t="s">
        <v>46</v>
      </c>
      <c r="K377" s="21">
        <v>1.85</v>
      </c>
      <c r="L377" s="4">
        <v>5.0</v>
      </c>
      <c r="M377" s="7" t="s">
        <v>44</v>
      </c>
      <c r="N377" s="22">
        <v>0.0</v>
      </c>
      <c r="O377" s="22">
        <f t="shared" si="10"/>
        <v>-5</v>
      </c>
      <c r="P377" s="26">
        <f t="shared" si="9"/>
        <v>340.65</v>
      </c>
      <c r="Q377" s="26">
        <f t="shared" si="7"/>
        <v>-34.36</v>
      </c>
      <c r="R377" s="27">
        <f t="shared" si="8"/>
        <v>-0.0916</v>
      </c>
      <c r="S377" s="24" t="s">
        <v>244</v>
      </c>
      <c r="T377" s="24" t="s">
        <v>36</v>
      </c>
      <c r="U377" s="28" t="str">
        <f t="shared" si="3"/>
        <v>Sunday</v>
      </c>
      <c r="V377" s="7" t="s">
        <v>249</v>
      </c>
    </row>
    <row r="378">
      <c r="A378" s="7">
        <v>378.0</v>
      </c>
      <c r="B378" s="20">
        <v>46018.0</v>
      </c>
      <c r="C378" s="7">
        <v>18.0</v>
      </c>
      <c r="D378" s="7" t="s">
        <v>31</v>
      </c>
      <c r="F378" s="7" t="s">
        <v>59</v>
      </c>
      <c r="H378" s="7" t="s">
        <v>82</v>
      </c>
      <c r="I378" s="7" t="s">
        <v>83</v>
      </c>
      <c r="J378" s="21" t="s">
        <v>255</v>
      </c>
      <c r="K378" s="21">
        <v>2.0</v>
      </c>
      <c r="L378" s="4">
        <v>5.0</v>
      </c>
      <c r="M378" s="7" t="s">
        <v>44</v>
      </c>
      <c r="N378" s="22">
        <v>0.0</v>
      </c>
      <c r="O378" s="22">
        <f t="shared" si="10"/>
        <v>-5</v>
      </c>
      <c r="P378" s="26">
        <f t="shared" si="9"/>
        <v>335.65</v>
      </c>
      <c r="Q378" s="26">
        <f t="shared" si="7"/>
        <v>-39.36</v>
      </c>
      <c r="R378" s="27">
        <f t="shared" si="8"/>
        <v>-0.1049333333</v>
      </c>
      <c r="S378" s="24" t="s">
        <v>244</v>
      </c>
      <c r="T378" s="24" t="s">
        <v>36</v>
      </c>
      <c r="U378" s="28" t="str">
        <f t="shared" si="3"/>
        <v>Saturday</v>
      </c>
      <c r="V378" s="7" t="s">
        <v>249</v>
      </c>
    </row>
    <row r="379">
      <c r="A379" s="7">
        <v>379.0</v>
      </c>
      <c r="B379" s="20">
        <v>46019.0</v>
      </c>
      <c r="C379" s="7">
        <v>18.0</v>
      </c>
      <c r="D379" s="7" t="s">
        <v>37</v>
      </c>
      <c r="F379" s="7" t="s">
        <v>51</v>
      </c>
      <c r="H379" s="7" t="s">
        <v>33</v>
      </c>
      <c r="I379" s="7" t="s">
        <v>37</v>
      </c>
      <c r="J379" s="21" t="s">
        <v>37</v>
      </c>
      <c r="K379" s="21">
        <v>1.4</v>
      </c>
      <c r="L379" s="4">
        <v>5.0</v>
      </c>
      <c r="M379" s="7" t="s">
        <v>34</v>
      </c>
      <c r="N379" s="22">
        <v>7.0</v>
      </c>
      <c r="O379" s="22">
        <f t="shared" si="10"/>
        <v>2</v>
      </c>
      <c r="P379" s="26">
        <f t="shared" si="9"/>
        <v>337.65</v>
      </c>
      <c r="Q379" s="26">
        <f t="shared" si="7"/>
        <v>-37.36</v>
      </c>
      <c r="R379" s="27">
        <f t="shared" si="8"/>
        <v>-0.0996</v>
      </c>
      <c r="S379" s="24" t="s">
        <v>244</v>
      </c>
      <c r="T379" s="24" t="s">
        <v>36</v>
      </c>
      <c r="U379" s="28" t="str">
        <f t="shared" si="3"/>
        <v>Sunday</v>
      </c>
      <c r="V379" s="7" t="s">
        <v>245</v>
      </c>
    </row>
    <row r="380">
      <c r="A380" s="7">
        <v>380.0</v>
      </c>
      <c r="B380" s="20">
        <v>46019.0</v>
      </c>
      <c r="C380" s="7">
        <v>18.0</v>
      </c>
      <c r="D380" s="7" t="s">
        <v>37</v>
      </c>
      <c r="F380" s="7" t="s">
        <v>51</v>
      </c>
      <c r="H380" s="7" t="s">
        <v>33</v>
      </c>
      <c r="I380" s="7" t="s">
        <v>37</v>
      </c>
      <c r="J380" s="21" t="s">
        <v>37</v>
      </c>
      <c r="K380" s="21">
        <v>1.4</v>
      </c>
      <c r="L380" s="4">
        <v>5.0</v>
      </c>
      <c r="M380" s="7" t="s">
        <v>34</v>
      </c>
      <c r="N380" s="22">
        <v>7.0</v>
      </c>
      <c r="O380" s="22">
        <f t="shared" si="10"/>
        <v>2</v>
      </c>
      <c r="P380" s="26">
        <f t="shared" si="9"/>
        <v>339.65</v>
      </c>
      <c r="Q380" s="26">
        <f t="shared" si="7"/>
        <v>-35.36</v>
      </c>
      <c r="R380" s="27">
        <f t="shared" si="8"/>
        <v>-0.09426666667</v>
      </c>
      <c r="S380" s="24" t="s">
        <v>244</v>
      </c>
      <c r="T380" s="24" t="s">
        <v>36</v>
      </c>
      <c r="U380" s="28" t="str">
        <f t="shared" si="3"/>
        <v>Sunday</v>
      </c>
      <c r="V380" s="7" t="s">
        <v>247</v>
      </c>
    </row>
    <row r="381">
      <c r="A381" s="7">
        <v>381.0</v>
      </c>
      <c r="B381" s="20">
        <v>46022.0</v>
      </c>
      <c r="C381" s="7">
        <v>19.0</v>
      </c>
      <c r="D381" s="7" t="s">
        <v>69</v>
      </c>
      <c r="F381" s="7" t="s">
        <v>58</v>
      </c>
      <c r="H381" s="7" t="s">
        <v>33</v>
      </c>
      <c r="I381" s="7" t="s">
        <v>69</v>
      </c>
      <c r="J381" s="21" t="s">
        <v>69</v>
      </c>
      <c r="K381" s="21">
        <v>1.58</v>
      </c>
      <c r="L381" s="4">
        <v>5.0</v>
      </c>
      <c r="M381" s="7" t="s">
        <v>44</v>
      </c>
      <c r="N381" s="22">
        <v>0.0</v>
      </c>
      <c r="O381" s="22">
        <f t="shared" si="10"/>
        <v>-5</v>
      </c>
      <c r="P381" s="26">
        <f t="shared" si="9"/>
        <v>334.65</v>
      </c>
      <c r="Q381" s="26">
        <f t="shared" si="7"/>
        <v>-40.36</v>
      </c>
      <c r="R381" s="27">
        <f t="shared" si="8"/>
        <v>-0.1076</v>
      </c>
      <c r="S381" s="24" t="s">
        <v>244</v>
      </c>
      <c r="T381" s="24" t="s">
        <v>36</v>
      </c>
      <c r="U381" s="28" t="str">
        <f t="shared" si="3"/>
        <v>Wednesday</v>
      </c>
      <c r="V381" s="7" t="s">
        <v>245</v>
      </c>
    </row>
    <row r="382">
      <c r="A382" s="7">
        <v>382.0</v>
      </c>
      <c r="B382" s="20">
        <v>46022.0</v>
      </c>
      <c r="C382" s="7">
        <v>19.0</v>
      </c>
      <c r="D382" s="7" t="s">
        <v>41</v>
      </c>
      <c r="F382" s="7" t="s">
        <v>51</v>
      </c>
      <c r="H382" s="7" t="s">
        <v>52</v>
      </c>
      <c r="I382" s="7" t="s">
        <v>51</v>
      </c>
      <c r="J382" s="21" t="s">
        <v>51</v>
      </c>
      <c r="K382" s="21">
        <v>1.57</v>
      </c>
      <c r="L382" s="4">
        <v>5.0</v>
      </c>
      <c r="M382" s="7" t="s">
        <v>95</v>
      </c>
      <c r="N382" s="22">
        <v>5.0</v>
      </c>
      <c r="O382" s="22">
        <f t="shared" si="10"/>
        <v>0</v>
      </c>
      <c r="P382" s="26">
        <f t="shared" si="9"/>
        <v>334.65</v>
      </c>
      <c r="Q382" s="26">
        <f t="shared" si="7"/>
        <v>-40.36</v>
      </c>
      <c r="R382" s="27">
        <f t="shared" si="8"/>
        <v>-0.1076</v>
      </c>
      <c r="S382" s="24" t="s">
        <v>244</v>
      </c>
      <c r="T382" s="24" t="s">
        <v>36</v>
      </c>
      <c r="U382" s="28" t="str">
        <f t="shared" si="3"/>
        <v>Wednesday</v>
      </c>
      <c r="V382" s="7" t="s">
        <v>249</v>
      </c>
    </row>
    <row r="383">
      <c r="A383" s="7">
        <v>383.0</v>
      </c>
      <c r="B383" s="20">
        <v>46022.0</v>
      </c>
      <c r="C383" s="7">
        <v>19.0</v>
      </c>
      <c r="D383" s="7" t="s">
        <v>37</v>
      </c>
      <c r="F383" s="7" t="s">
        <v>42</v>
      </c>
      <c r="H383" s="7" t="s">
        <v>82</v>
      </c>
      <c r="I383" s="7" t="s">
        <v>83</v>
      </c>
      <c r="J383" s="21" t="s">
        <v>37</v>
      </c>
      <c r="K383" s="21">
        <v>2.15</v>
      </c>
      <c r="L383" s="4">
        <v>5.0</v>
      </c>
      <c r="M383" s="7" t="s">
        <v>34</v>
      </c>
      <c r="N383" s="22">
        <v>10.75</v>
      </c>
      <c r="O383" s="22">
        <f t="shared" si="10"/>
        <v>5.75</v>
      </c>
      <c r="P383" s="26">
        <f t="shared" si="9"/>
        <v>340.4</v>
      </c>
      <c r="Q383" s="26">
        <f t="shared" si="7"/>
        <v>-34.61</v>
      </c>
      <c r="R383" s="27">
        <f t="shared" si="8"/>
        <v>-0.09226666667</v>
      </c>
      <c r="S383" s="24" t="s">
        <v>244</v>
      </c>
      <c r="T383" s="24" t="s">
        <v>36</v>
      </c>
      <c r="U383" s="28" t="str">
        <f t="shared" si="3"/>
        <v>Wednesday</v>
      </c>
      <c r="V383" s="7" t="s">
        <v>247</v>
      </c>
    </row>
    <row r="384">
      <c r="A384" s="7">
        <v>384.0</v>
      </c>
      <c r="B384" s="20">
        <v>46022.0</v>
      </c>
      <c r="C384" s="7">
        <v>19.0</v>
      </c>
      <c r="D384" s="7" t="s">
        <v>70</v>
      </c>
      <c r="F384" s="7" t="s">
        <v>70</v>
      </c>
      <c r="H384" s="7" t="s">
        <v>259</v>
      </c>
      <c r="I384" s="7" t="s">
        <v>70</v>
      </c>
      <c r="J384" s="21" t="s">
        <v>255</v>
      </c>
      <c r="K384" s="21">
        <v>3.39</v>
      </c>
      <c r="L384" s="4">
        <v>1.0</v>
      </c>
      <c r="M384" s="7" t="s">
        <v>44</v>
      </c>
      <c r="N384" s="22">
        <v>0.0</v>
      </c>
      <c r="O384" s="22">
        <f t="shared" si="10"/>
        <v>-1</v>
      </c>
      <c r="P384" s="26">
        <f t="shared" si="9"/>
        <v>339.4</v>
      </c>
      <c r="Q384" s="26">
        <f t="shared" si="7"/>
        <v>-35.61</v>
      </c>
      <c r="R384" s="27">
        <f t="shared" si="8"/>
        <v>-0.09493333333</v>
      </c>
      <c r="S384" s="24" t="s">
        <v>244</v>
      </c>
      <c r="T384" s="24" t="s">
        <v>36</v>
      </c>
      <c r="U384" s="28" t="str">
        <f t="shared" si="3"/>
        <v>Wednesday</v>
      </c>
    </row>
    <row r="385">
      <c r="A385" s="7">
        <v>385.0</v>
      </c>
      <c r="B385" s="20">
        <v>46026.0</v>
      </c>
      <c r="C385" s="7">
        <v>20.0</v>
      </c>
      <c r="D385" s="7" t="s">
        <v>42</v>
      </c>
      <c r="F385" s="7" t="s">
        <v>78</v>
      </c>
      <c r="H385" s="7" t="s">
        <v>33</v>
      </c>
      <c r="I385" s="7" t="s">
        <v>42</v>
      </c>
      <c r="J385" s="21" t="s">
        <v>42</v>
      </c>
      <c r="K385" s="21">
        <v>1.78</v>
      </c>
      <c r="L385" s="4">
        <v>5.0</v>
      </c>
      <c r="M385" s="7" t="s">
        <v>34</v>
      </c>
      <c r="N385" s="22">
        <v>8.9</v>
      </c>
      <c r="O385" s="22">
        <v>3.9</v>
      </c>
      <c r="P385" s="26">
        <f t="shared" si="9"/>
        <v>343.3</v>
      </c>
      <c r="Q385" s="26">
        <f t="shared" si="7"/>
        <v>-31.71</v>
      </c>
      <c r="R385" s="27">
        <f t="shared" si="8"/>
        <v>-0.08453333333</v>
      </c>
      <c r="S385" s="24" t="s">
        <v>244</v>
      </c>
      <c r="T385" s="24" t="s">
        <v>36</v>
      </c>
      <c r="U385" s="28" t="str">
        <f t="shared" si="3"/>
        <v>Sunday</v>
      </c>
      <c r="V385" s="7" t="s">
        <v>247</v>
      </c>
    </row>
    <row r="386">
      <c r="A386" s="7">
        <v>386.0</v>
      </c>
      <c r="B386" s="20">
        <v>46026.0</v>
      </c>
      <c r="C386" s="7">
        <v>20.0</v>
      </c>
      <c r="D386" s="7" t="s">
        <v>58</v>
      </c>
      <c r="F386" s="7" t="s">
        <v>37</v>
      </c>
      <c r="H386" s="7" t="s">
        <v>82</v>
      </c>
      <c r="I386" s="7" t="s">
        <v>83</v>
      </c>
      <c r="J386" s="21" t="s">
        <v>37</v>
      </c>
      <c r="K386" s="21">
        <v>1.8</v>
      </c>
      <c r="L386" s="4">
        <v>5.0</v>
      </c>
      <c r="M386" s="7" t="s">
        <v>34</v>
      </c>
      <c r="N386" s="22">
        <v>9.0</v>
      </c>
      <c r="O386" s="22">
        <v>4.0</v>
      </c>
      <c r="P386" s="26">
        <f t="shared" si="9"/>
        <v>347.3</v>
      </c>
      <c r="Q386" s="26">
        <f t="shared" si="7"/>
        <v>-27.71</v>
      </c>
      <c r="R386" s="27">
        <f t="shared" si="8"/>
        <v>-0.07386666667</v>
      </c>
      <c r="S386" s="24" t="s">
        <v>244</v>
      </c>
      <c r="T386" s="24" t="s">
        <v>36</v>
      </c>
      <c r="U386" s="28" t="str">
        <f t="shared" si="3"/>
        <v>Sunday</v>
      </c>
      <c r="V386" s="7" t="s">
        <v>245</v>
      </c>
    </row>
    <row r="387">
      <c r="A387" s="7">
        <v>387.0</v>
      </c>
      <c r="B387" s="20">
        <v>46027.0</v>
      </c>
      <c r="C387" s="7">
        <v>20.0</v>
      </c>
      <c r="D387" s="7" t="s">
        <v>59</v>
      </c>
      <c r="F387" s="7" t="s">
        <v>46</v>
      </c>
      <c r="H387" s="7" t="s">
        <v>55</v>
      </c>
      <c r="I387" s="7" t="s">
        <v>260</v>
      </c>
      <c r="J387" s="21" t="s">
        <v>46</v>
      </c>
      <c r="K387" s="21">
        <v>1.44</v>
      </c>
      <c r="L387" s="4">
        <v>5.0</v>
      </c>
      <c r="M387" s="7" t="s">
        <v>44</v>
      </c>
      <c r="N387" s="22">
        <v>0.0</v>
      </c>
      <c r="O387" s="22">
        <v>-5.0</v>
      </c>
      <c r="P387" s="26">
        <f t="shared" si="9"/>
        <v>342.3</v>
      </c>
      <c r="Q387" s="26">
        <f t="shared" si="7"/>
        <v>-32.71</v>
      </c>
      <c r="R387" s="27">
        <f t="shared" si="8"/>
        <v>-0.0872</v>
      </c>
      <c r="S387" s="24" t="s">
        <v>244</v>
      </c>
      <c r="T387" s="24" t="s">
        <v>36</v>
      </c>
      <c r="U387" s="28" t="str">
        <f t="shared" si="3"/>
        <v>Monday</v>
      </c>
      <c r="V387" s="7" t="s">
        <v>249</v>
      </c>
    </row>
    <row r="388">
      <c r="A388" s="7">
        <v>388.0</v>
      </c>
      <c r="B388" s="20">
        <v>46027.0</v>
      </c>
      <c r="C388" s="7">
        <v>20.0</v>
      </c>
      <c r="D388" s="7" t="s">
        <v>70</v>
      </c>
      <c r="F388" s="7" t="s">
        <v>70</v>
      </c>
      <c r="H388" s="7" t="s">
        <v>261</v>
      </c>
      <c r="I388" s="7" t="s">
        <v>70</v>
      </c>
      <c r="J388" s="21" t="s">
        <v>255</v>
      </c>
      <c r="K388" s="21">
        <v>4.72</v>
      </c>
      <c r="L388" s="4">
        <v>1.0</v>
      </c>
      <c r="M388" s="7" t="s">
        <v>44</v>
      </c>
      <c r="N388" s="22">
        <v>0.0</v>
      </c>
      <c r="O388" s="22">
        <v>-1.0</v>
      </c>
      <c r="P388" s="26">
        <f t="shared" si="9"/>
        <v>341.3</v>
      </c>
      <c r="Q388" s="26">
        <f t="shared" si="7"/>
        <v>-33.71</v>
      </c>
      <c r="R388" s="27">
        <f t="shared" ref="R388:R441" si="11">(P388-375)/375</f>
        <v>-0.08986666667</v>
      </c>
      <c r="S388" s="31" t="s">
        <v>244</v>
      </c>
      <c r="T388" s="31" t="s">
        <v>36</v>
      </c>
      <c r="U388" s="32" t="str">
        <f t="shared" si="3"/>
        <v>Monday</v>
      </c>
    </row>
    <row r="389">
      <c r="A389" s="7">
        <v>389.0</v>
      </c>
      <c r="B389" s="20">
        <v>46030.0</v>
      </c>
      <c r="C389" s="7">
        <v>21.0</v>
      </c>
      <c r="D389" s="7" t="s">
        <v>57</v>
      </c>
      <c r="F389" s="7" t="s">
        <v>38</v>
      </c>
      <c r="H389" s="7" t="s">
        <v>52</v>
      </c>
      <c r="I389" s="7" t="s">
        <v>57</v>
      </c>
      <c r="J389" s="21" t="s">
        <v>57</v>
      </c>
      <c r="K389" s="21">
        <v>1.29</v>
      </c>
      <c r="L389" s="4">
        <v>5.0</v>
      </c>
      <c r="M389" s="7" t="s">
        <v>95</v>
      </c>
      <c r="N389" s="22">
        <v>5.0</v>
      </c>
      <c r="O389" s="22">
        <v>0.0</v>
      </c>
      <c r="P389" s="26">
        <f t="shared" si="9"/>
        <v>341.3</v>
      </c>
      <c r="Q389" s="26">
        <f t="shared" si="7"/>
        <v>-33.71</v>
      </c>
      <c r="R389" s="27">
        <f t="shared" si="11"/>
        <v>-0.08986666667</v>
      </c>
      <c r="S389" s="31" t="s">
        <v>244</v>
      </c>
      <c r="T389" s="31" t="s">
        <v>36</v>
      </c>
      <c r="U389" s="32" t="str">
        <f t="shared" si="3"/>
        <v>Thursday</v>
      </c>
      <c r="V389" s="7" t="s">
        <v>247</v>
      </c>
    </row>
    <row r="390">
      <c r="A390" s="7">
        <v>390.0</v>
      </c>
      <c r="B390" s="20">
        <v>46030.0</v>
      </c>
      <c r="C390" s="7">
        <v>21.0</v>
      </c>
      <c r="D390" s="7" t="s">
        <v>32</v>
      </c>
      <c r="F390" s="7" t="s">
        <v>69</v>
      </c>
      <c r="H390" s="7" t="s">
        <v>82</v>
      </c>
      <c r="I390" s="7" t="s">
        <v>83</v>
      </c>
      <c r="J390" s="21" t="s">
        <v>69</v>
      </c>
      <c r="K390" s="21">
        <v>1.67</v>
      </c>
      <c r="L390" s="4">
        <v>5.0</v>
      </c>
      <c r="M390" s="7" t="s">
        <v>34</v>
      </c>
      <c r="N390" s="22">
        <v>8.35</v>
      </c>
      <c r="O390" s="22">
        <v>3.35</v>
      </c>
      <c r="P390" s="26">
        <f t="shared" si="9"/>
        <v>344.65</v>
      </c>
      <c r="Q390" s="26">
        <f t="shared" si="7"/>
        <v>-30.36</v>
      </c>
      <c r="R390" s="27">
        <f t="shared" si="11"/>
        <v>-0.08093333333</v>
      </c>
      <c r="S390" s="31" t="s">
        <v>244</v>
      </c>
      <c r="T390" s="31" t="s">
        <v>36</v>
      </c>
      <c r="U390" s="32" t="str">
        <f t="shared" si="3"/>
        <v>Thursday</v>
      </c>
      <c r="V390" s="7" t="s">
        <v>245</v>
      </c>
    </row>
    <row r="391">
      <c r="A391" s="7">
        <v>391.0</v>
      </c>
      <c r="B391" s="20">
        <v>46030.0</v>
      </c>
      <c r="C391" s="7">
        <v>21.0</v>
      </c>
      <c r="D391" s="7" t="s">
        <v>246</v>
      </c>
      <c r="F391" s="7" t="s">
        <v>31</v>
      </c>
      <c r="H391" s="7" t="s">
        <v>52</v>
      </c>
      <c r="I391" s="7" t="s">
        <v>246</v>
      </c>
      <c r="J391" s="21" t="s">
        <v>246</v>
      </c>
      <c r="K391" s="21">
        <v>3.25</v>
      </c>
      <c r="L391" s="4">
        <v>5.0</v>
      </c>
      <c r="M391" s="7" t="s">
        <v>95</v>
      </c>
      <c r="N391" s="22">
        <v>5.0</v>
      </c>
      <c r="O391" s="22">
        <v>0.0</v>
      </c>
      <c r="P391" s="26">
        <f t="shared" si="9"/>
        <v>344.65</v>
      </c>
      <c r="Q391" s="26">
        <f t="shared" si="7"/>
        <v>-30.36</v>
      </c>
      <c r="R391" s="27">
        <f t="shared" si="11"/>
        <v>-0.08093333333</v>
      </c>
      <c r="S391" s="31" t="s">
        <v>244</v>
      </c>
      <c r="T391" s="31" t="s">
        <v>36</v>
      </c>
      <c r="U391" s="32" t="str">
        <f t="shared" si="3"/>
        <v>Thursday</v>
      </c>
      <c r="V391" s="7" t="s">
        <v>249</v>
      </c>
    </row>
    <row r="392">
      <c r="A392" s="7">
        <v>392.0</v>
      </c>
      <c r="B392" s="20">
        <v>46030.0</v>
      </c>
      <c r="C392" s="7">
        <v>21.0</v>
      </c>
      <c r="D392" s="7" t="s">
        <v>70</v>
      </c>
      <c r="F392" s="7" t="s">
        <v>70</v>
      </c>
      <c r="H392" s="7" t="s">
        <v>262</v>
      </c>
      <c r="I392" s="7" t="s">
        <v>70</v>
      </c>
      <c r="J392" s="21" t="s">
        <v>255</v>
      </c>
      <c r="K392" s="21">
        <v>7.24</v>
      </c>
      <c r="L392" s="4">
        <v>1.0</v>
      </c>
      <c r="M392" s="7" t="s">
        <v>34</v>
      </c>
      <c r="N392" s="22">
        <v>1.7</v>
      </c>
      <c r="O392" s="22">
        <v>0.7</v>
      </c>
      <c r="P392" s="26">
        <f t="shared" si="9"/>
        <v>345.35</v>
      </c>
      <c r="Q392" s="26">
        <f t="shared" si="7"/>
        <v>-29.66</v>
      </c>
      <c r="R392" s="27">
        <f t="shared" si="11"/>
        <v>-0.07906666667</v>
      </c>
      <c r="S392" s="31" t="s">
        <v>244</v>
      </c>
      <c r="T392" s="31" t="s">
        <v>36</v>
      </c>
      <c r="U392" s="32" t="str">
        <f t="shared" si="3"/>
        <v>Thursday</v>
      </c>
    </row>
    <row r="393">
      <c r="A393" s="7">
        <v>393.0</v>
      </c>
      <c r="B393" s="20">
        <v>46033.0</v>
      </c>
      <c r="D393" s="7" t="s">
        <v>57</v>
      </c>
      <c r="F393" s="7" t="s">
        <v>250</v>
      </c>
      <c r="H393" s="7" t="s">
        <v>148</v>
      </c>
      <c r="I393" s="7" t="s">
        <v>250</v>
      </c>
      <c r="J393" s="21" t="s">
        <v>250</v>
      </c>
      <c r="K393" s="21">
        <v>2.25</v>
      </c>
      <c r="L393" s="4">
        <v>3.0</v>
      </c>
      <c r="M393" s="7" t="s">
        <v>34</v>
      </c>
      <c r="N393" s="22">
        <v>6.75</v>
      </c>
      <c r="O393" s="22">
        <v>3.75</v>
      </c>
      <c r="P393" s="26">
        <f t="shared" si="9"/>
        <v>349.1</v>
      </c>
      <c r="Q393" s="26">
        <f t="shared" si="7"/>
        <v>-25.91</v>
      </c>
      <c r="R393" s="27">
        <f t="shared" si="11"/>
        <v>-0.06906666667</v>
      </c>
      <c r="S393" s="24" t="s">
        <v>263</v>
      </c>
      <c r="T393" s="31" t="s">
        <v>36</v>
      </c>
      <c r="U393" s="32" t="str">
        <f t="shared" si="3"/>
        <v>Sunday</v>
      </c>
    </row>
    <row r="394">
      <c r="A394" s="7">
        <v>394.0</v>
      </c>
      <c r="B394" s="20">
        <v>46033.0</v>
      </c>
      <c r="D394" s="7" t="s">
        <v>264</v>
      </c>
      <c r="F394" s="7" t="s">
        <v>46</v>
      </c>
      <c r="H394" s="7" t="s">
        <v>148</v>
      </c>
      <c r="I394" s="7" t="s">
        <v>46</v>
      </c>
      <c r="J394" s="21" t="s">
        <v>46</v>
      </c>
      <c r="K394" s="21">
        <v>1.11</v>
      </c>
      <c r="L394" s="4">
        <v>1.0</v>
      </c>
      <c r="M394" s="7" t="s">
        <v>44</v>
      </c>
      <c r="N394" s="22">
        <v>0.0</v>
      </c>
      <c r="O394" s="22">
        <v>-1.0</v>
      </c>
      <c r="P394" s="26">
        <f t="shared" si="9"/>
        <v>348.1</v>
      </c>
      <c r="Q394" s="26">
        <f t="shared" si="7"/>
        <v>-26.91</v>
      </c>
      <c r="R394" s="27">
        <f t="shared" si="11"/>
        <v>-0.07173333333</v>
      </c>
      <c r="S394" s="24" t="s">
        <v>263</v>
      </c>
      <c r="T394" s="31" t="s">
        <v>36</v>
      </c>
      <c r="U394" s="32" t="str">
        <f t="shared" si="3"/>
        <v>Sunday</v>
      </c>
    </row>
    <row r="395">
      <c r="A395" s="7">
        <v>395.0</v>
      </c>
      <c r="B395" s="20">
        <v>46033.0</v>
      </c>
      <c r="D395" s="7" t="s">
        <v>38</v>
      </c>
      <c r="F395" s="7" t="s">
        <v>265</v>
      </c>
      <c r="H395" s="7" t="s">
        <v>148</v>
      </c>
      <c r="I395" s="7" t="s">
        <v>38</v>
      </c>
      <c r="J395" s="21" t="s">
        <v>38</v>
      </c>
      <c r="K395" s="21">
        <v>1.08</v>
      </c>
      <c r="L395" s="4">
        <v>1.0</v>
      </c>
      <c r="M395" s="7" t="s">
        <v>34</v>
      </c>
      <c r="N395" s="22">
        <v>1.08</v>
      </c>
      <c r="O395" s="22">
        <v>0.08</v>
      </c>
      <c r="P395" s="26">
        <f t="shared" si="9"/>
        <v>348.18</v>
      </c>
      <c r="Q395" s="26">
        <f t="shared" si="7"/>
        <v>-26.83</v>
      </c>
      <c r="R395" s="27">
        <f t="shared" si="11"/>
        <v>-0.07152</v>
      </c>
      <c r="S395" s="24" t="s">
        <v>263</v>
      </c>
      <c r="T395" s="31" t="s">
        <v>36</v>
      </c>
      <c r="U395" s="32" t="str">
        <f t="shared" si="3"/>
        <v>Sunday</v>
      </c>
    </row>
    <row r="396">
      <c r="A396" s="7">
        <v>396.0</v>
      </c>
      <c r="B396" s="20">
        <v>46033.0</v>
      </c>
      <c r="D396" s="7" t="s">
        <v>266</v>
      </c>
      <c r="F396" s="7" t="s">
        <v>45</v>
      </c>
      <c r="H396" s="7" t="s">
        <v>148</v>
      </c>
      <c r="I396" s="7" t="s">
        <v>45</v>
      </c>
      <c r="J396" s="21" t="s">
        <v>45</v>
      </c>
      <c r="K396" s="21">
        <v>1.09</v>
      </c>
      <c r="L396" s="4">
        <v>1.0</v>
      </c>
      <c r="M396" s="7" t="s">
        <v>34</v>
      </c>
      <c r="N396" s="22">
        <v>1.09</v>
      </c>
      <c r="O396" s="22">
        <v>0.09</v>
      </c>
      <c r="P396" s="26">
        <f t="shared" si="9"/>
        <v>348.27</v>
      </c>
      <c r="Q396" s="26">
        <f t="shared" si="7"/>
        <v>-26.74</v>
      </c>
      <c r="R396" s="27">
        <f t="shared" si="11"/>
        <v>-0.07128</v>
      </c>
      <c r="S396" s="24" t="s">
        <v>263</v>
      </c>
      <c r="T396" s="31" t="s">
        <v>36</v>
      </c>
      <c r="U396" s="32" t="str">
        <f t="shared" si="3"/>
        <v>Sunday</v>
      </c>
    </row>
    <row r="397">
      <c r="A397" s="7">
        <v>397.0</v>
      </c>
      <c r="B397" s="20">
        <v>46033.0</v>
      </c>
      <c r="D397" s="7" t="s">
        <v>53</v>
      </c>
      <c r="F397" s="7" t="s">
        <v>267</v>
      </c>
      <c r="H397" s="7" t="s">
        <v>148</v>
      </c>
      <c r="I397" s="7" t="s">
        <v>53</v>
      </c>
      <c r="J397" s="21" t="s">
        <v>53</v>
      </c>
      <c r="K397" s="21">
        <v>1.03</v>
      </c>
      <c r="L397" s="4">
        <v>1.0</v>
      </c>
      <c r="M397" s="7" t="s">
        <v>34</v>
      </c>
      <c r="N397" s="22">
        <v>1.03</v>
      </c>
      <c r="O397" s="22">
        <v>0.03</v>
      </c>
      <c r="P397" s="26">
        <f t="shared" si="9"/>
        <v>348.3</v>
      </c>
      <c r="Q397" s="26">
        <f t="shared" si="7"/>
        <v>-26.71</v>
      </c>
      <c r="R397" s="27">
        <f t="shared" si="11"/>
        <v>-0.0712</v>
      </c>
      <c r="S397" s="24" t="s">
        <v>263</v>
      </c>
      <c r="T397" s="31" t="s">
        <v>36</v>
      </c>
      <c r="U397" s="32" t="str">
        <f t="shared" si="3"/>
        <v>Sunday</v>
      </c>
    </row>
    <row r="398">
      <c r="A398" s="7">
        <v>398.0</v>
      </c>
      <c r="B398" s="20">
        <v>46033.0</v>
      </c>
      <c r="D398" s="7" t="s">
        <v>268</v>
      </c>
      <c r="F398" s="7" t="s">
        <v>69</v>
      </c>
      <c r="H398" s="7" t="s">
        <v>148</v>
      </c>
      <c r="I398" s="7" t="s">
        <v>69</v>
      </c>
      <c r="J398" s="21" t="s">
        <v>69</v>
      </c>
      <c r="K398" s="21">
        <v>1.17</v>
      </c>
      <c r="L398" s="4">
        <v>1.0</v>
      </c>
      <c r="M398" s="7" t="s">
        <v>34</v>
      </c>
      <c r="N398" s="22">
        <v>1.17</v>
      </c>
      <c r="O398" s="22">
        <v>0.17</v>
      </c>
      <c r="P398" s="26">
        <f t="shared" si="9"/>
        <v>348.47</v>
      </c>
      <c r="Q398" s="26">
        <f t="shared" si="7"/>
        <v>-26.54</v>
      </c>
      <c r="R398" s="27">
        <f t="shared" si="11"/>
        <v>-0.07074666667</v>
      </c>
      <c r="S398" s="24" t="s">
        <v>263</v>
      </c>
      <c r="T398" s="31" t="s">
        <v>36</v>
      </c>
      <c r="U398" s="32" t="str">
        <f t="shared" si="3"/>
        <v>Sunday</v>
      </c>
    </row>
    <row r="399">
      <c r="A399" s="7">
        <v>399.0</v>
      </c>
      <c r="B399" s="20">
        <v>46033.0</v>
      </c>
      <c r="D399" s="7" t="s">
        <v>70</v>
      </c>
      <c r="F399" s="7" t="s">
        <v>70</v>
      </c>
      <c r="H399" s="7" t="s">
        <v>269</v>
      </c>
      <c r="I399" s="7" t="s">
        <v>70</v>
      </c>
      <c r="J399" s="21" t="s">
        <v>70</v>
      </c>
      <c r="K399" s="21">
        <v>1.59</v>
      </c>
      <c r="L399" s="4">
        <v>1.0</v>
      </c>
      <c r="M399" s="7" t="s">
        <v>44</v>
      </c>
      <c r="N399" s="22">
        <v>0.0</v>
      </c>
      <c r="O399" s="22">
        <v>-1.0</v>
      </c>
      <c r="P399" s="26">
        <f t="shared" si="9"/>
        <v>347.47</v>
      </c>
      <c r="Q399" s="26">
        <f t="shared" si="7"/>
        <v>-27.54</v>
      </c>
      <c r="R399" s="27">
        <f t="shared" si="11"/>
        <v>-0.07341333333</v>
      </c>
      <c r="S399" s="24" t="s">
        <v>263</v>
      </c>
      <c r="T399" s="31" t="s">
        <v>36</v>
      </c>
      <c r="U399" s="32" t="str">
        <f t="shared" si="3"/>
        <v>Sunday</v>
      </c>
    </row>
    <row r="400">
      <c r="A400" s="7">
        <v>400.0</v>
      </c>
      <c r="B400" s="20">
        <v>46034.0</v>
      </c>
      <c r="D400" s="7" t="s">
        <v>270</v>
      </c>
      <c r="F400" s="7" t="s">
        <v>37</v>
      </c>
      <c r="H400" s="7" t="s">
        <v>148</v>
      </c>
      <c r="I400" s="7" t="s">
        <v>37</v>
      </c>
      <c r="J400" s="21" t="s">
        <v>37</v>
      </c>
      <c r="K400" s="21">
        <v>1.2</v>
      </c>
      <c r="L400" s="4">
        <v>5.0</v>
      </c>
      <c r="M400" s="7" t="s">
        <v>34</v>
      </c>
      <c r="N400" s="22">
        <v>6.0</v>
      </c>
      <c r="O400" s="22">
        <v>1.0</v>
      </c>
      <c r="P400" s="26">
        <f t="shared" si="9"/>
        <v>348.47</v>
      </c>
      <c r="Q400" s="26">
        <f t="shared" si="7"/>
        <v>-26.54</v>
      </c>
      <c r="R400" s="27">
        <f t="shared" si="11"/>
        <v>-0.07074666667</v>
      </c>
      <c r="S400" s="24" t="s">
        <v>263</v>
      </c>
      <c r="T400" s="31" t="s">
        <v>36</v>
      </c>
      <c r="U400" s="32" t="str">
        <f t="shared" si="3"/>
        <v>Monday</v>
      </c>
    </row>
    <row r="401">
      <c r="A401" s="7">
        <v>401.0</v>
      </c>
      <c r="B401" s="20">
        <v>46034.0</v>
      </c>
      <c r="D401" s="7" t="s">
        <v>61</v>
      </c>
      <c r="F401" s="7" t="s">
        <v>271</v>
      </c>
      <c r="H401" s="7" t="s">
        <v>148</v>
      </c>
      <c r="I401" s="7" t="s">
        <v>61</v>
      </c>
      <c r="J401" s="21" t="s">
        <v>61</v>
      </c>
      <c r="K401" s="21">
        <v>1.2</v>
      </c>
      <c r="L401" s="4">
        <v>5.0</v>
      </c>
      <c r="M401" s="7" t="s">
        <v>34</v>
      </c>
      <c r="N401" s="22">
        <v>6.0</v>
      </c>
      <c r="O401" s="22">
        <v>1.0</v>
      </c>
      <c r="P401" s="26">
        <f t="shared" si="9"/>
        <v>349.47</v>
      </c>
      <c r="Q401" s="26">
        <f t="shared" si="7"/>
        <v>-25.54</v>
      </c>
      <c r="R401" s="27">
        <f t="shared" si="11"/>
        <v>-0.06808</v>
      </c>
      <c r="S401" s="24" t="s">
        <v>263</v>
      </c>
      <c r="T401" s="31" t="s">
        <v>36</v>
      </c>
      <c r="U401" s="32" t="str">
        <f t="shared" si="3"/>
        <v>Monday</v>
      </c>
    </row>
    <row r="402">
      <c r="A402" s="7">
        <v>402.0</v>
      </c>
      <c r="B402" s="20">
        <v>46034.0</v>
      </c>
      <c r="D402" s="7" t="s">
        <v>70</v>
      </c>
      <c r="F402" s="7" t="s">
        <v>70</v>
      </c>
      <c r="H402" s="7" t="s">
        <v>269</v>
      </c>
      <c r="I402" s="7" t="s">
        <v>70</v>
      </c>
      <c r="J402" s="21" t="s">
        <v>70</v>
      </c>
      <c r="K402" s="21">
        <v>1.45</v>
      </c>
      <c r="L402" s="4">
        <v>2.12</v>
      </c>
      <c r="M402" s="7" t="s">
        <v>34</v>
      </c>
      <c r="N402" s="22">
        <v>3.07</v>
      </c>
      <c r="O402" s="23">
        <f>N402-L402</f>
        <v>0.95</v>
      </c>
      <c r="P402" s="26">
        <f t="shared" si="9"/>
        <v>350.42</v>
      </c>
      <c r="Q402" s="26">
        <f t="shared" si="7"/>
        <v>-24.59</v>
      </c>
      <c r="R402" s="27">
        <f t="shared" si="11"/>
        <v>-0.06554666667</v>
      </c>
      <c r="S402" s="24" t="s">
        <v>263</v>
      </c>
      <c r="T402" s="31" t="s">
        <v>36</v>
      </c>
      <c r="U402" s="32" t="str">
        <f t="shared" si="3"/>
        <v>Monday</v>
      </c>
    </row>
    <row r="403">
      <c r="A403" s="7">
        <v>403.0</v>
      </c>
      <c r="B403" s="20">
        <v>46040.0</v>
      </c>
      <c r="C403" s="7">
        <v>22.0</v>
      </c>
      <c r="D403" s="7" t="s">
        <v>78</v>
      </c>
      <c r="F403" s="7" t="s">
        <v>37</v>
      </c>
      <c r="H403" s="7" t="s">
        <v>33</v>
      </c>
      <c r="I403" s="7" t="s">
        <v>37</v>
      </c>
      <c r="J403" s="21" t="s">
        <v>37</v>
      </c>
      <c r="K403" s="21">
        <v>1.55</v>
      </c>
      <c r="L403" s="4">
        <v>5.0</v>
      </c>
      <c r="M403" s="7" t="s">
        <v>44</v>
      </c>
      <c r="N403" s="22">
        <v>0.0</v>
      </c>
      <c r="O403" s="22">
        <v>-5.0</v>
      </c>
      <c r="P403" s="26">
        <f t="shared" si="9"/>
        <v>345.42</v>
      </c>
      <c r="Q403" s="26">
        <f t="shared" si="7"/>
        <v>-29.59</v>
      </c>
      <c r="R403" s="27">
        <f t="shared" si="11"/>
        <v>-0.07888</v>
      </c>
      <c r="S403" s="24" t="s">
        <v>244</v>
      </c>
      <c r="T403" s="31" t="s">
        <v>36</v>
      </c>
      <c r="U403" s="32" t="str">
        <f t="shared" si="3"/>
        <v>Sunday</v>
      </c>
      <c r="V403" s="7" t="s">
        <v>245</v>
      </c>
    </row>
    <row r="404">
      <c r="A404" s="7">
        <v>404.0</v>
      </c>
      <c r="B404" s="20">
        <v>46040.0</v>
      </c>
      <c r="C404" s="7">
        <v>22.0</v>
      </c>
      <c r="D404" s="7" t="s">
        <v>248</v>
      </c>
      <c r="F404" s="7" t="s">
        <v>32</v>
      </c>
      <c r="H404" s="7" t="s">
        <v>52</v>
      </c>
      <c r="I404" s="7" t="s">
        <v>32</v>
      </c>
      <c r="J404" s="21" t="s">
        <v>32</v>
      </c>
      <c r="K404" s="21">
        <v>2.25</v>
      </c>
      <c r="L404" s="4">
        <v>5.0</v>
      </c>
      <c r="M404" s="7" t="s">
        <v>44</v>
      </c>
      <c r="N404" s="22">
        <v>0.0</v>
      </c>
      <c r="O404" s="22">
        <v>-5.0</v>
      </c>
      <c r="P404" s="26">
        <f t="shared" si="9"/>
        <v>340.42</v>
      </c>
      <c r="Q404" s="26">
        <f t="shared" si="7"/>
        <v>-34.59</v>
      </c>
      <c r="R404" s="27">
        <f t="shared" si="11"/>
        <v>-0.09221333333</v>
      </c>
      <c r="S404" s="24" t="s">
        <v>244</v>
      </c>
      <c r="T404" s="31" t="s">
        <v>36</v>
      </c>
      <c r="U404" s="32" t="str">
        <f t="shared" si="3"/>
        <v>Sunday</v>
      </c>
      <c r="V404" s="7" t="s">
        <v>249</v>
      </c>
    </row>
    <row r="405">
      <c r="A405" s="7">
        <v>405.0</v>
      </c>
      <c r="B405" s="20">
        <v>46041.0</v>
      </c>
      <c r="C405" s="7">
        <v>22.0</v>
      </c>
      <c r="D405" s="7" t="s">
        <v>42</v>
      </c>
      <c r="F405" s="7" t="s">
        <v>57</v>
      </c>
      <c r="H405" s="7" t="s">
        <v>33</v>
      </c>
      <c r="I405" s="7" t="s">
        <v>42</v>
      </c>
      <c r="J405" s="21" t="s">
        <v>42</v>
      </c>
      <c r="K405" s="21">
        <v>1.67</v>
      </c>
      <c r="L405" s="4">
        <v>5.0</v>
      </c>
      <c r="M405" s="7" t="s">
        <v>44</v>
      </c>
      <c r="N405" s="22">
        <v>0.0</v>
      </c>
      <c r="O405" s="22">
        <v>-5.0</v>
      </c>
      <c r="P405" s="26">
        <f t="shared" si="9"/>
        <v>335.42</v>
      </c>
      <c r="Q405" s="26">
        <f t="shared" si="7"/>
        <v>-39.59</v>
      </c>
      <c r="R405" s="27">
        <f t="shared" si="11"/>
        <v>-0.1055466667</v>
      </c>
      <c r="S405" s="24" t="s">
        <v>244</v>
      </c>
      <c r="T405" s="31" t="s">
        <v>36</v>
      </c>
      <c r="U405" s="32" t="str">
        <f t="shared" si="3"/>
        <v>Monday</v>
      </c>
      <c r="V405" s="7" t="s">
        <v>247</v>
      </c>
    </row>
    <row r="406">
      <c r="A406" s="7">
        <v>406.0</v>
      </c>
      <c r="B406" s="20">
        <v>46041.0</v>
      </c>
      <c r="C406" s="7">
        <v>22.0</v>
      </c>
      <c r="D406" s="7" t="s">
        <v>70</v>
      </c>
      <c r="F406" s="7" t="s">
        <v>70</v>
      </c>
      <c r="H406" s="7" t="s">
        <v>272</v>
      </c>
      <c r="I406" s="7" t="s">
        <v>70</v>
      </c>
      <c r="J406" s="7" t="s">
        <v>70</v>
      </c>
      <c r="K406" s="21">
        <v>5.96</v>
      </c>
      <c r="L406" s="4">
        <v>1.0</v>
      </c>
      <c r="M406" s="7" t="s">
        <v>44</v>
      </c>
      <c r="N406" s="22">
        <v>0.0</v>
      </c>
      <c r="O406" s="22">
        <v>-1.0</v>
      </c>
      <c r="P406" s="26">
        <f t="shared" si="9"/>
        <v>334.42</v>
      </c>
      <c r="Q406" s="26">
        <f t="shared" si="7"/>
        <v>-40.59</v>
      </c>
      <c r="R406" s="27">
        <f t="shared" si="11"/>
        <v>-0.1082133333</v>
      </c>
      <c r="S406" s="24" t="s">
        <v>244</v>
      </c>
      <c r="T406" s="31" t="s">
        <v>36</v>
      </c>
      <c r="U406" s="32" t="str">
        <f t="shared" si="3"/>
        <v>Monday</v>
      </c>
    </row>
    <row r="407">
      <c r="A407" s="7">
        <v>407.0</v>
      </c>
      <c r="B407" s="20">
        <v>46048.0</v>
      </c>
      <c r="C407" s="7">
        <v>23.0</v>
      </c>
      <c r="D407" s="7" t="s">
        <v>45</v>
      </c>
      <c r="F407" s="7" t="s">
        <v>78</v>
      </c>
      <c r="H407" s="7" t="s">
        <v>52</v>
      </c>
      <c r="I407" s="7" t="s">
        <v>45</v>
      </c>
      <c r="J407" s="21" t="s">
        <v>45</v>
      </c>
      <c r="K407" s="21">
        <v>1.4</v>
      </c>
      <c r="L407" s="4">
        <v>5.0</v>
      </c>
      <c r="M407" s="7" t="s">
        <v>44</v>
      </c>
      <c r="N407" s="22">
        <v>0.0</v>
      </c>
      <c r="O407" s="22">
        <v>-5.0</v>
      </c>
      <c r="P407" s="26">
        <f t="shared" si="9"/>
        <v>329.42</v>
      </c>
      <c r="Q407" s="26">
        <f t="shared" si="7"/>
        <v>-45.59</v>
      </c>
      <c r="R407" s="27">
        <f t="shared" si="11"/>
        <v>-0.1215466667</v>
      </c>
      <c r="S407" s="24" t="s">
        <v>244</v>
      </c>
      <c r="T407" s="31" t="s">
        <v>36</v>
      </c>
      <c r="U407" s="32" t="str">
        <f t="shared" si="3"/>
        <v>Monday</v>
      </c>
      <c r="V407" s="7" t="s">
        <v>247</v>
      </c>
    </row>
    <row r="408">
      <c r="A408" s="7">
        <v>408.0</v>
      </c>
      <c r="B408" s="20">
        <v>46048.0</v>
      </c>
      <c r="C408" s="7">
        <v>23.0</v>
      </c>
      <c r="D408" s="7" t="s">
        <v>59</v>
      </c>
      <c r="F408" s="7" t="s">
        <v>42</v>
      </c>
      <c r="H408" s="7" t="s">
        <v>52</v>
      </c>
      <c r="I408" s="7" t="s">
        <v>42</v>
      </c>
      <c r="J408" s="21" t="s">
        <v>42</v>
      </c>
      <c r="K408" s="21">
        <v>2.63</v>
      </c>
      <c r="L408" s="4">
        <v>5.0</v>
      </c>
      <c r="M408" s="7" t="s">
        <v>34</v>
      </c>
      <c r="N408" s="22">
        <v>13.15</v>
      </c>
      <c r="O408" s="22">
        <v>8.15</v>
      </c>
      <c r="P408" s="26">
        <f t="shared" si="9"/>
        <v>337.57</v>
      </c>
      <c r="Q408" s="26">
        <f t="shared" si="7"/>
        <v>-37.44</v>
      </c>
      <c r="R408" s="27">
        <f t="shared" si="11"/>
        <v>-0.09981333333</v>
      </c>
      <c r="S408" s="24" t="s">
        <v>244</v>
      </c>
      <c r="T408" s="31" t="s">
        <v>36</v>
      </c>
      <c r="U408" s="32" t="str">
        <f t="shared" si="3"/>
        <v>Monday</v>
      </c>
      <c r="V408" s="7" t="s">
        <v>249</v>
      </c>
    </row>
    <row r="409">
      <c r="A409" s="7">
        <v>409.0</v>
      </c>
      <c r="B409" s="20">
        <v>46048.0</v>
      </c>
      <c r="C409" s="7">
        <v>23.0</v>
      </c>
      <c r="D409" s="7" t="s">
        <v>46</v>
      </c>
      <c r="F409" s="7" t="s">
        <v>69</v>
      </c>
      <c r="H409" s="7" t="s">
        <v>52</v>
      </c>
      <c r="I409" s="7" t="s">
        <v>69</v>
      </c>
      <c r="J409" s="21" t="s">
        <v>69</v>
      </c>
      <c r="K409" s="21">
        <v>1.48</v>
      </c>
      <c r="L409" s="4">
        <v>5.0</v>
      </c>
      <c r="M409" s="7" t="s">
        <v>34</v>
      </c>
      <c r="N409" s="22">
        <v>7.4</v>
      </c>
      <c r="O409" s="22">
        <v>2.4</v>
      </c>
      <c r="P409" s="26">
        <f t="shared" si="9"/>
        <v>339.97</v>
      </c>
      <c r="Q409" s="26">
        <f t="shared" si="7"/>
        <v>-35.04</v>
      </c>
      <c r="R409" s="27">
        <f t="shared" si="11"/>
        <v>-0.09341333333</v>
      </c>
      <c r="S409" s="24" t="s">
        <v>244</v>
      </c>
      <c r="T409" s="31" t="s">
        <v>36</v>
      </c>
      <c r="U409" s="32" t="str">
        <f t="shared" si="3"/>
        <v>Monday</v>
      </c>
      <c r="V409" s="7" t="s">
        <v>245</v>
      </c>
    </row>
    <row r="410">
      <c r="A410" s="7">
        <v>410.0</v>
      </c>
      <c r="B410" s="20">
        <v>46048.0</v>
      </c>
      <c r="C410" s="7">
        <v>23.0</v>
      </c>
      <c r="D410" s="7" t="s">
        <v>70</v>
      </c>
      <c r="F410" s="7" t="s">
        <v>70</v>
      </c>
      <c r="H410" s="7" t="s">
        <v>273</v>
      </c>
      <c r="I410" s="7" t="s">
        <v>70</v>
      </c>
      <c r="J410" s="21" t="s">
        <v>70</v>
      </c>
      <c r="K410" s="21">
        <v>5.58</v>
      </c>
      <c r="L410" s="4">
        <v>1.0</v>
      </c>
      <c r="M410" s="7" t="s">
        <v>44</v>
      </c>
      <c r="N410" s="22">
        <v>0.0</v>
      </c>
      <c r="O410" s="22">
        <v>-1.0</v>
      </c>
      <c r="P410" s="26">
        <f t="shared" si="9"/>
        <v>338.97</v>
      </c>
      <c r="Q410" s="26">
        <f t="shared" si="7"/>
        <v>-36.04</v>
      </c>
      <c r="R410" s="27">
        <f t="shared" si="11"/>
        <v>-0.09608</v>
      </c>
      <c r="S410" s="24" t="s">
        <v>244</v>
      </c>
      <c r="T410" s="31" t="s">
        <v>36</v>
      </c>
      <c r="U410" s="32" t="str">
        <f t="shared" si="3"/>
        <v>Monday</v>
      </c>
    </row>
    <row r="411">
      <c r="A411" s="7">
        <v>411.0</v>
      </c>
      <c r="B411" s="20">
        <v>46054.0</v>
      </c>
      <c r="C411" s="7">
        <v>24.0</v>
      </c>
      <c r="D411" s="7" t="s">
        <v>38</v>
      </c>
      <c r="F411" s="7" t="s">
        <v>58</v>
      </c>
      <c r="H411" s="7" t="s">
        <v>33</v>
      </c>
      <c r="I411" s="7" t="s">
        <v>58</v>
      </c>
      <c r="J411" s="21" t="s">
        <v>58</v>
      </c>
      <c r="K411" s="21">
        <v>2.25</v>
      </c>
      <c r="L411" s="4">
        <v>5.0</v>
      </c>
      <c r="M411" s="7" t="s">
        <v>34</v>
      </c>
      <c r="N411" s="22">
        <v>11.25</v>
      </c>
      <c r="O411" s="22">
        <v>6.25</v>
      </c>
      <c r="P411" s="26">
        <f t="shared" si="9"/>
        <v>345.22</v>
      </c>
      <c r="Q411" s="26">
        <f t="shared" si="7"/>
        <v>-29.79</v>
      </c>
      <c r="R411" s="27">
        <f t="shared" si="11"/>
        <v>-0.07941333333</v>
      </c>
      <c r="S411" s="24" t="s">
        <v>244</v>
      </c>
      <c r="T411" s="31" t="s">
        <v>36</v>
      </c>
      <c r="U411" s="32" t="str">
        <f t="shared" si="3"/>
        <v>Sunday</v>
      </c>
      <c r="V411" s="7" t="s">
        <v>245</v>
      </c>
    </row>
    <row r="412">
      <c r="A412" s="7">
        <v>412.0</v>
      </c>
      <c r="B412" s="20">
        <v>46055.0</v>
      </c>
      <c r="C412" s="7">
        <v>24.0</v>
      </c>
      <c r="D412" s="7" t="s">
        <v>31</v>
      </c>
      <c r="F412" s="7" t="s">
        <v>32</v>
      </c>
      <c r="H412" s="7" t="s">
        <v>33</v>
      </c>
      <c r="I412" s="7" t="s">
        <v>31</v>
      </c>
      <c r="J412" s="21" t="s">
        <v>31</v>
      </c>
      <c r="K412" s="21">
        <v>1.62</v>
      </c>
      <c r="L412" s="4">
        <v>5.0</v>
      </c>
      <c r="M412" s="7" t="s">
        <v>34</v>
      </c>
      <c r="N412" s="22">
        <v>8.1</v>
      </c>
      <c r="O412" s="22">
        <v>3.1</v>
      </c>
      <c r="P412" s="26">
        <f t="shared" si="9"/>
        <v>348.32</v>
      </c>
      <c r="Q412" s="26">
        <f t="shared" si="7"/>
        <v>-26.69</v>
      </c>
      <c r="R412" s="27">
        <f t="shared" si="11"/>
        <v>-0.07114666667</v>
      </c>
      <c r="S412" s="24" t="s">
        <v>244</v>
      </c>
      <c r="T412" s="31" t="s">
        <v>36</v>
      </c>
      <c r="U412" s="32" t="str">
        <f t="shared" si="3"/>
        <v>Monday</v>
      </c>
      <c r="V412" s="7" t="s">
        <v>247</v>
      </c>
    </row>
    <row r="413">
      <c r="A413" s="7">
        <v>413.0</v>
      </c>
      <c r="B413" s="20">
        <v>46056.0</v>
      </c>
      <c r="C413" s="7">
        <v>24.0</v>
      </c>
      <c r="D413" s="7" t="s">
        <v>250</v>
      </c>
      <c r="F413" s="7" t="s">
        <v>246</v>
      </c>
      <c r="H413" s="7" t="s">
        <v>52</v>
      </c>
      <c r="I413" s="7" t="s">
        <v>246</v>
      </c>
      <c r="J413" s="21" t="s">
        <v>246</v>
      </c>
      <c r="K413" s="21">
        <v>3.3</v>
      </c>
      <c r="L413" s="4">
        <v>5.0</v>
      </c>
      <c r="M413" s="7" t="s">
        <v>44</v>
      </c>
      <c r="N413" s="22">
        <v>0.0</v>
      </c>
      <c r="O413" s="22">
        <v>-5.0</v>
      </c>
      <c r="P413" s="26">
        <f t="shared" si="9"/>
        <v>343.32</v>
      </c>
      <c r="Q413" s="26">
        <f t="shared" si="7"/>
        <v>-31.69</v>
      </c>
      <c r="R413" s="27">
        <f t="shared" si="11"/>
        <v>-0.08448</v>
      </c>
      <c r="S413" s="24" t="s">
        <v>244</v>
      </c>
      <c r="T413" s="31" t="s">
        <v>36</v>
      </c>
      <c r="U413" s="32" t="str">
        <f t="shared" si="3"/>
        <v>Tuesday</v>
      </c>
      <c r="V413" s="7" t="s">
        <v>249</v>
      </c>
    </row>
    <row r="414">
      <c r="A414" s="7">
        <v>414.0</v>
      </c>
      <c r="B414" s="20">
        <v>46056.0</v>
      </c>
      <c r="C414" s="7">
        <v>24.0</v>
      </c>
      <c r="D414" s="7" t="s">
        <v>70</v>
      </c>
      <c r="F414" s="7" t="s">
        <v>70</v>
      </c>
      <c r="H414" s="7" t="s">
        <v>274</v>
      </c>
      <c r="I414" s="7" t="s">
        <v>70</v>
      </c>
      <c r="J414" s="21" t="s">
        <v>70</v>
      </c>
      <c r="K414" s="21">
        <v>12.53</v>
      </c>
      <c r="L414" s="4">
        <v>1.0</v>
      </c>
      <c r="M414" s="7" t="s">
        <v>44</v>
      </c>
      <c r="N414" s="22">
        <v>0.0</v>
      </c>
      <c r="O414" s="22">
        <v>-1.0</v>
      </c>
      <c r="P414" s="26">
        <f t="shared" si="9"/>
        <v>342.32</v>
      </c>
      <c r="Q414" s="26">
        <f t="shared" si="7"/>
        <v>-32.69</v>
      </c>
      <c r="R414" s="27">
        <f t="shared" si="11"/>
        <v>-0.08714666667</v>
      </c>
      <c r="S414" s="24" t="s">
        <v>244</v>
      </c>
      <c r="T414" s="31" t="s">
        <v>36</v>
      </c>
      <c r="U414" s="32" t="str">
        <f t="shared" si="3"/>
        <v>Tuesday</v>
      </c>
    </row>
    <row r="415">
      <c r="A415" s="7">
        <v>415.0</v>
      </c>
      <c r="B415" s="20">
        <v>46061.0</v>
      </c>
      <c r="C415" s="7">
        <v>25.0</v>
      </c>
      <c r="D415" s="7" t="s">
        <v>37</v>
      </c>
      <c r="F415" s="7" t="s">
        <v>250</v>
      </c>
      <c r="H415" s="7" t="s">
        <v>33</v>
      </c>
      <c r="I415" s="7" t="s">
        <v>37</v>
      </c>
      <c r="J415" s="21" t="s">
        <v>37</v>
      </c>
      <c r="K415" s="21">
        <v>1.24</v>
      </c>
      <c r="L415" s="4">
        <v>5.0</v>
      </c>
      <c r="M415" s="7" t="s">
        <v>34</v>
      </c>
      <c r="N415" s="22">
        <v>6.2</v>
      </c>
      <c r="O415" s="22">
        <v>1.2</v>
      </c>
      <c r="P415" s="26">
        <f t="shared" si="9"/>
        <v>343.52</v>
      </c>
      <c r="Q415" s="26">
        <f t="shared" si="7"/>
        <v>-31.49</v>
      </c>
      <c r="R415" s="27">
        <f t="shared" si="11"/>
        <v>-0.08394666667</v>
      </c>
      <c r="S415" s="24" t="s">
        <v>244</v>
      </c>
      <c r="T415" s="31" t="s">
        <v>36</v>
      </c>
      <c r="U415" s="32" t="str">
        <f t="shared" si="3"/>
        <v>Sunday</v>
      </c>
      <c r="V415" s="7" t="s">
        <v>247</v>
      </c>
    </row>
    <row r="416">
      <c r="A416" s="7">
        <v>416.0</v>
      </c>
      <c r="B416" s="20">
        <v>46061.0</v>
      </c>
      <c r="C416" s="7">
        <v>25.0</v>
      </c>
      <c r="D416" s="7" t="s">
        <v>38</v>
      </c>
      <c r="F416" s="7" t="s">
        <v>69</v>
      </c>
      <c r="H416" s="7" t="s">
        <v>33</v>
      </c>
      <c r="I416" s="7" t="s">
        <v>69</v>
      </c>
      <c r="J416" s="21" t="s">
        <v>69</v>
      </c>
      <c r="K416" s="21">
        <v>1.7</v>
      </c>
      <c r="L416" s="4">
        <v>5.0</v>
      </c>
      <c r="M416" s="7" t="s">
        <v>34</v>
      </c>
      <c r="N416" s="22">
        <v>8.5</v>
      </c>
      <c r="O416" s="22">
        <v>3.5</v>
      </c>
      <c r="P416" s="26">
        <f t="shared" si="9"/>
        <v>347.02</v>
      </c>
      <c r="Q416" s="26">
        <f t="shared" si="7"/>
        <v>-27.99</v>
      </c>
      <c r="R416" s="27">
        <f t="shared" si="11"/>
        <v>-0.07461333333</v>
      </c>
      <c r="S416" s="24" t="s">
        <v>244</v>
      </c>
      <c r="T416" s="31" t="s">
        <v>36</v>
      </c>
      <c r="U416" s="32" t="str">
        <f t="shared" si="3"/>
        <v>Sunday</v>
      </c>
      <c r="V416" s="7" t="s">
        <v>245</v>
      </c>
    </row>
    <row r="417">
      <c r="A417" s="7">
        <v>417.0</v>
      </c>
      <c r="B417" s="20">
        <v>46061.0</v>
      </c>
      <c r="C417" s="7">
        <v>25.0</v>
      </c>
      <c r="D417" s="7" t="s">
        <v>246</v>
      </c>
      <c r="F417" s="7" t="s">
        <v>41</v>
      </c>
      <c r="H417" s="7" t="s">
        <v>52</v>
      </c>
      <c r="I417" s="7" t="s">
        <v>246</v>
      </c>
      <c r="J417" s="21" t="s">
        <v>246</v>
      </c>
      <c r="K417" s="21">
        <v>2.3</v>
      </c>
      <c r="L417" s="4">
        <v>5.0</v>
      </c>
      <c r="M417" s="7" t="s">
        <v>44</v>
      </c>
      <c r="N417" s="22">
        <v>0.0</v>
      </c>
      <c r="O417" s="22">
        <v>-5.0</v>
      </c>
      <c r="P417" s="26">
        <f t="shared" si="9"/>
        <v>342.02</v>
      </c>
      <c r="Q417" s="26">
        <f t="shared" si="7"/>
        <v>-32.99</v>
      </c>
      <c r="R417" s="27">
        <f t="shared" si="11"/>
        <v>-0.08794666667</v>
      </c>
      <c r="S417" s="24" t="s">
        <v>244</v>
      </c>
      <c r="T417" s="31" t="s">
        <v>36</v>
      </c>
      <c r="U417" s="32" t="str">
        <f t="shared" si="3"/>
        <v>Sunday</v>
      </c>
      <c r="V417" s="7" t="s">
        <v>249</v>
      </c>
    </row>
    <row r="418">
      <c r="A418" s="7">
        <v>418.0</v>
      </c>
      <c r="B418" s="20">
        <v>46061.0</v>
      </c>
      <c r="C418" s="7">
        <v>25.0</v>
      </c>
      <c r="D418" s="7" t="s">
        <v>70</v>
      </c>
      <c r="F418" s="7" t="s">
        <v>70</v>
      </c>
      <c r="H418" s="7" t="s">
        <v>275</v>
      </c>
      <c r="I418" s="7" t="s">
        <v>70</v>
      </c>
      <c r="J418" s="21" t="s">
        <v>70</v>
      </c>
      <c r="K418" s="21">
        <v>4.97</v>
      </c>
      <c r="L418" s="4">
        <v>1.0</v>
      </c>
      <c r="M418" s="7" t="s">
        <v>44</v>
      </c>
      <c r="N418" s="22">
        <v>0.0</v>
      </c>
      <c r="O418" s="22">
        <v>-1.0</v>
      </c>
      <c r="P418" s="26">
        <f t="shared" si="9"/>
        <v>341.02</v>
      </c>
      <c r="Q418" s="26">
        <f t="shared" si="7"/>
        <v>-33.99</v>
      </c>
      <c r="R418" s="27">
        <f t="shared" si="11"/>
        <v>-0.09061333333</v>
      </c>
      <c r="S418" s="24" t="s">
        <v>244</v>
      </c>
      <c r="T418" s="31" t="s">
        <v>36</v>
      </c>
      <c r="U418" s="32" t="str">
        <f t="shared" si="3"/>
        <v>Sunday</v>
      </c>
    </row>
    <row r="419">
      <c r="A419" s="7">
        <v>419.0</v>
      </c>
      <c r="B419" s="20">
        <v>46062.0</v>
      </c>
      <c r="D419" s="7" t="s">
        <v>276</v>
      </c>
      <c r="F419" s="7" t="s">
        <v>277</v>
      </c>
      <c r="H419" s="7" t="s">
        <v>33</v>
      </c>
      <c r="I419" s="7" t="s">
        <v>278</v>
      </c>
      <c r="J419" s="21" t="s">
        <v>278</v>
      </c>
      <c r="K419" s="21">
        <v>1.44</v>
      </c>
      <c r="L419" s="4">
        <v>5.0</v>
      </c>
      <c r="M419" s="7" t="s">
        <v>34</v>
      </c>
      <c r="N419" s="22">
        <v>7.2</v>
      </c>
      <c r="O419" s="22">
        <v>2.2</v>
      </c>
      <c r="P419" s="26">
        <f t="shared" si="9"/>
        <v>343.22</v>
      </c>
      <c r="Q419" s="26">
        <f t="shared" si="7"/>
        <v>-31.79</v>
      </c>
      <c r="R419" s="27">
        <f t="shared" si="11"/>
        <v>-0.08474666667</v>
      </c>
      <c r="S419" s="24" t="s">
        <v>279</v>
      </c>
      <c r="T419" s="24" t="s">
        <v>280</v>
      </c>
      <c r="U419" s="32" t="str">
        <f t="shared" si="3"/>
        <v>Monday</v>
      </c>
    </row>
    <row r="420">
      <c r="A420" s="7">
        <v>420.0</v>
      </c>
      <c r="B420" s="20">
        <v>46064.0</v>
      </c>
      <c r="C420" s="7">
        <v>26.0</v>
      </c>
      <c r="D420" s="7" t="s">
        <v>57</v>
      </c>
      <c r="F420" s="7" t="s">
        <v>58</v>
      </c>
      <c r="H420" s="7" t="s">
        <v>82</v>
      </c>
      <c r="I420" s="7" t="s">
        <v>83</v>
      </c>
      <c r="J420" s="21" t="s">
        <v>281</v>
      </c>
      <c r="K420" s="21">
        <v>1.67</v>
      </c>
      <c r="L420" s="4">
        <v>5.0</v>
      </c>
      <c r="M420" s="7" t="s">
        <v>34</v>
      </c>
      <c r="N420" s="22">
        <v>8.35</v>
      </c>
      <c r="O420" s="22">
        <v>3.35</v>
      </c>
      <c r="P420" s="26">
        <f t="shared" si="9"/>
        <v>346.57</v>
      </c>
      <c r="Q420" s="26">
        <f t="shared" si="7"/>
        <v>-28.44</v>
      </c>
      <c r="R420" s="27">
        <f t="shared" si="11"/>
        <v>-0.07581333333</v>
      </c>
      <c r="S420" s="31" t="s">
        <v>244</v>
      </c>
      <c r="T420" s="31" t="s">
        <v>36</v>
      </c>
      <c r="U420" s="32" t="str">
        <f t="shared" si="3"/>
        <v>Wednesday</v>
      </c>
      <c r="V420" s="7" t="s">
        <v>245</v>
      </c>
    </row>
    <row r="421">
      <c r="A421" s="7">
        <v>421.0</v>
      </c>
      <c r="B421" s="20">
        <v>46064.0</v>
      </c>
      <c r="C421" s="7">
        <v>26.0</v>
      </c>
      <c r="D421" s="7" t="s">
        <v>69</v>
      </c>
      <c r="F421" s="7" t="s">
        <v>248</v>
      </c>
      <c r="H421" s="7" t="s">
        <v>33</v>
      </c>
      <c r="I421" s="7" t="s">
        <v>69</v>
      </c>
      <c r="J421" s="21" t="s">
        <v>69</v>
      </c>
      <c r="K421" s="21">
        <v>1.55</v>
      </c>
      <c r="L421" s="4">
        <v>5.0</v>
      </c>
      <c r="M421" s="7" t="s">
        <v>44</v>
      </c>
      <c r="N421" s="22">
        <v>0.0</v>
      </c>
      <c r="O421" s="22">
        <v>-5.0</v>
      </c>
      <c r="P421" s="26">
        <f t="shared" si="9"/>
        <v>341.57</v>
      </c>
      <c r="Q421" s="26">
        <f t="shared" si="7"/>
        <v>-33.44</v>
      </c>
      <c r="R421" s="27">
        <f t="shared" si="11"/>
        <v>-0.08914666667</v>
      </c>
      <c r="S421" s="31" t="s">
        <v>244</v>
      </c>
      <c r="T421" s="31" t="s">
        <v>36</v>
      </c>
      <c r="U421" s="32" t="str">
        <f t="shared" si="3"/>
        <v>Wednesday</v>
      </c>
      <c r="V421" s="7" t="s">
        <v>247</v>
      </c>
    </row>
    <row r="422">
      <c r="A422" s="7">
        <v>422.0</v>
      </c>
      <c r="B422" s="20">
        <v>46065.0</v>
      </c>
      <c r="C422" s="7">
        <v>26.0</v>
      </c>
      <c r="D422" s="7" t="s">
        <v>42</v>
      </c>
      <c r="F422" s="7" t="s">
        <v>51</v>
      </c>
      <c r="H422" s="7" t="s">
        <v>52</v>
      </c>
      <c r="I422" s="7" t="s">
        <v>42</v>
      </c>
      <c r="J422" s="21" t="s">
        <v>42</v>
      </c>
      <c r="K422" s="21">
        <v>1.4</v>
      </c>
      <c r="L422" s="4">
        <v>5.0</v>
      </c>
      <c r="M422" s="7" t="s">
        <v>34</v>
      </c>
      <c r="N422" s="22">
        <v>7.0</v>
      </c>
      <c r="O422" s="22">
        <v>2.0</v>
      </c>
      <c r="P422" s="26">
        <f t="shared" si="9"/>
        <v>343.57</v>
      </c>
      <c r="Q422" s="26">
        <f t="shared" si="7"/>
        <v>-31.44</v>
      </c>
      <c r="R422" s="27">
        <f t="shared" si="11"/>
        <v>-0.08381333333</v>
      </c>
      <c r="S422" s="31" t="s">
        <v>244</v>
      </c>
      <c r="T422" s="31" t="s">
        <v>36</v>
      </c>
      <c r="U422" s="32" t="str">
        <f t="shared" si="3"/>
        <v>Thursday</v>
      </c>
      <c r="V422" s="7" t="s">
        <v>249</v>
      </c>
    </row>
    <row r="423">
      <c r="A423" s="7">
        <v>423.0</v>
      </c>
      <c r="B423" s="20">
        <v>46065.0</v>
      </c>
      <c r="C423" s="7">
        <v>26.0</v>
      </c>
      <c r="D423" s="7" t="s">
        <v>70</v>
      </c>
      <c r="F423" s="7" t="s">
        <v>70</v>
      </c>
      <c r="H423" s="7" t="s">
        <v>282</v>
      </c>
      <c r="I423" s="7" t="s">
        <v>70</v>
      </c>
      <c r="J423" s="21" t="s">
        <v>70</v>
      </c>
      <c r="K423" s="21">
        <v>3.46</v>
      </c>
      <c r="L423" s="4">
        <v>1.0</v>
      </c>
      <c r="M423" s="7" t="s">
        <v>44</v>
      </c>
      <c r="N423" s="22">
        <v>0.0</v>
      </c>
      <c r="O423" s="22">
        <v>-1.0</v>
      </c>
      <c r="P423" s="26">
        <f t="shared" si="9"/>
        <v>342.57</v>
      </c>
      <c r="Q423" s="26">
        <f t="shared" si="7"/>
        <v>-32.44</v>
      </c>
      <c r="R423" s="27">
        <f t="shared" si="11"/>
        <v>-0.08648</v>
      </c>
      <c r="S423" s="31" t="s">
        <v>244</v>
      </c>
      <c r="T423" s="31" t="s">
        <v>36</v>
      </c>
      <c r="U423" s="32" t="str">
        <f t="shared" si="3"/>
        <v>Thursday</v>
      </c>
    </row>
    <row r="424">
      <c r="A424" s="7">
        <v>424.0</v>
      </c>
      <c r="B424" s="20">
        <v>46068.0</v>
      </c>
      <c r="D424" s="7" t="s">
        <v>70</v>
      </c>
      <c r="F424" s="7" t="s">
        <v>70</v>
      </c>
      <c r="H424" s="7" t="s">
        <v>269</v>
      </c>
      <c r="I424" s="7" t="s">
        <v>70</v>
      </c>
      <c r="J424" s="21" t="s">
        <v>70</v>
      </c>
      <c r="K424" s="21">
        <v>2.98</v>
      </c>
      <c r="L424" s="4">
        <v>2.0</v>
      </c>
      <c r="M424" s="7" t="s">
        <v>44</v>
      </c>
      <c r="N424" s="22">
        <v>0.0</v>
      </c>
      <c r="O424" s="22">
        <v>-2.0</v>
      </c>
      <c r="P424" s="26">
        <f t="shared" si="9"/>
        <v>340.57</v>
      </c>
      <c r="Q424" s="26">
        <f t="shared" si="7"/>
        <v>-34.44</v>
      </c>
      <c r="R424" s="27">
        <f t="shared" si="11"/>
        <v>-0.09181333333</v>
      </c>
      <c r="S424" s="24" t="s">
        <v>263</v>
      </c>
      <c r="T424" s="31" t="s">
        <v>36</v>
      </c>
      <c r="U424" s="32" t="str">
        <f t="shared" si="3"/>
        <v>Sunday</v>
      </c>
    </row>
    <row r="425">
      <c r="A425" s="7">
        <v>425.0</v>
      </c>
      <c r="B425" s="20">
        <v>46068.0</v>
      </c>
      <c r="D425" s="7" t="s">
        <v>70</v>
      </c>
      <c r="F425" s="7" t="s">
        <v>70</v>
      </c>
      <c r="H425" s="7" t="s">
        <v>269</v>
      </c>
      <c r="I425" s="7" t="s">
        <v>70</v>
      </c>
      <c r="J425" s="21" t="s">
        <v>70</v>
      </c>
      <c r="K425" s="21">
        <v>3.13</v>
      </c>
      <c r="L425" s="4">
        <v>2.0</v>
      </c>
      <c r="M425" s="7" t="s">
        <v>44</v>
      </c>
      <c r="N425" s="22">
        <v>0.0</v>
      </c>
      <c r="O425" s="22">
        <v>-2.0</v>
      </c>
      <c r="P425" s="26">
        <f t="shared" si="9"/>
        <v>338.57</v>
      </c>
      <c r="Q425" s="26">
        <f t="shared" si="7"/>
        <v>-36.44</v>
      </c>
      <c r="R425" s="27">
        <f t="shared" si="11"/>
        <v>-0.09714666667</v>
      </c>
      <c r="S425" s="24" t="s">
        <v>263</v>
      </c>
      <c r="T425" s="31" t="s">
        <v>36</v>
      </c>
      <c r="U425" s="32" t="str">
        <f t="shared" si="3"/>
        <v>Sunday</v>
      </c>
    </row>
    <row r="426">
      <c r="A426" s="7">
        <v>426.0</v>
      </c>
      <c r="B426" s="20">
        <v>46068.0</v>
      </c>
      <c r="D426" s="7" t="s">
        <v>70</v>
      </c>
      <c r="F426" s="7" t="s">
        <v>70</v>
      </c>
      <c r="H426" s="7" t="s">
        <v>269</v>
      </c>
      <c r="I426" s="7" t="s">
        <v>70</v>
      </c>
      <c r="J426" s="21" t="s">
        <v>70</v>
      </c>
      <c r="K426" s="21">
        <v>5.79</v>
      </c>
      <c r="L426" s="4">
        <v>2.0</v>
      </c>
      <c r="M426" s="7" t="s">
        <v>44</v>
      </c>
      <c r="N426" s="22">
        <v>0.0</v>
      </c>
      <c r="O426" s="22">
        <v>-2.0</v>
      </c>
      <c r="P426" s="26">
        <f t="shared" si="9"/>
        <v>336.57</v>
      </c>
      <c r="Q426" s="26">
        <f t="shared" si="7"/>
        <v>-38.44</v>
      </c>
      <c r="R426" s="27">
        <f t="shared" si="11"/>
        <v>-0.10248</v>
      </c>
      <c r="S426" s="24" t="s">
        <v>263</v>
      </c>
      <c r="T426" s="31" t="s">
        <v>36</v>
      </c>
      <c r="U426" s="32" t="str">
        <f t="shared" si="3"/>
        <v>Sunday</v>
      </c>
    </row>
    <row r="427">
      <c r="A427" s="7">
        <v>427.0</v>
      </c>
      <c r="B427" s="20">
        <v>46068.0</v>
      </c>
      <c r="D427" s="7" t="s">
        <v>70</v>
      </c>
      <c r="F427" s="7" t="s">
        <v>70</v>
      </c>
      <c r="H427" s="7" t="s">
        <v>269</v>
      </c>
      <c r="I427" s="7" t="s">
        <v>70</v>
      </c>
      <c r="J427" s="21" t="s">
        <v>70</v>
      </c>
      <c r="K427" s="21">
        <v>9.75</v>
      </c>
      <c r="L427" s="4">
        <v>2.0</v>
      </c>
      <c r="M427" s="7" t="s">
        <v>44</v>
      </c>
      <c r="N427" s="22">
        <v>0.0</v>
      </c>
      <c r="O427" s="22">
        <v>-2.0</v>
      </c>
      <c r="P427" s="26">
        <f t="shared" si="9"/>
        <v>334.57</v>
      </c>
      <c r="Q427" s="26">
        <f t="shared" si="7"/>
        <v>-40.44</v>
      </c>
      <c r="R427" s="27">
        <f t="shared" si="11"/>
        <v>-0.1078133333</v>
      </c>
      <c r="S427" s="24" t="s">
        <v>263</v>
      </c>
      <c r="T427" s="31" t="s">
        <v>36</v>
      </c>
      <c r="U427" s="32" t="str">
        <f t="shared" si="3"/>
        <v>Sunday</v>
      </c>
    </row>
    <row r="428">
      <c r="A428" s="7">
        <v>428.0</v>
      </c>
      <c r="B428" s="20">
        <v>46075.0</v>
      </c>
      <c r="C428" s="7">
        <v>27.0</v>
      </c>
      <c r="D428" s="7" t="s">
        <v>41</v>
      </c>
      <c r="F428" s="7" t="s">
        <v>58</v>
      </c>
      <c r="H428" s="7" t="s">
        <v>52</v>
      </c>
      <c r="I428" s="7" t="s">
        <v>58</v>
      </c>
      <c r="J428" s="21" t="s">
        <v>58</v>
      </c>
      <c r="K428" s="21">
        <v>1.95</v>
      </c>
      <c r="L428" s="4">
        <v>5.0</v>
      </c>
      <c r="M428" s="7" t="s">
        <v>95</v>
      </c>
      <c r="N428" s="22">
        <v>5.0</v>
      </c>
      <c r="O428" s="22">
        <v>0.0</v>
      </c>
      <c r="P428" s="26">
        <f t="shared" si="9"/>
        <v>334.57</v>
      </c>
      <c r="Q428" s="26">
        <f t="shared" si="7"/>
        <v>-40.44</v>
      </c>
      <c r="R428" s="27">
        <f t="shared" si="11"/>
        <v>-0.1078133333</v>
      </c>
      <c r="S428" s="24" t="s">
        <v>244</v>
      </c>
      <c r="T428" s="31" t="s">
        <v>36</v>
      </c>
      <c r="U428" s="32" t="str">
        <f t="shared" si="3"/>
        <v>Sunday</v>
      </c>
      <c r="V428" s="7" t="s">
        <v>249</v>
      </c>
    </row>
    <row r="429">
      <c r="A429" s="7">
        <v>429.0</v>
      </c>
      <c r="B429" s="20">
        <v>46075.0</v>
      </c>
      <c r="C429" s="7">
        <v>27.0</v>
      </c>
      <c r="D429" s="7" t="s">
        <v>42</v>
      </c>
      <c r="F429" s="7" t="s">
        <v>248</v>
      </c>
      <c r="H429" s="7" t="s">
        <v>33</v>
      </c>
      <c r="I429" s="7" t="s">
        <v>42</v>
      </c>
      <c r="J429" s="21" t="s">
        <v>42</v>
      </c>
      <c r="K429" s="21">
        <v>1.85</v>
      </c>
      <c r="L429" s="4">
        <v>5.0</v>
      </c>
      <c r="M429" s="7" t="s">
        <v>44</v>
      </c>
      <c r="N429" s="22">
        <v>0.0</v>
      </c>
      <c r="O429" s="22">
        <v>-5.0</v>
      </c>
      <c r="P429" s="26">
        <f t="shared" si="9"/>
        <v>329.57</v>
      </c>
      <c r="Q429" s="26">
        <f t="shared" si="7"/>
        <v>-45.44</v>
      </c>
      <c r="R429" s="27">
        <f t="shared" si="11"/>
        <v>-0.1211466667</v>
      </c>
      <c r="S429" s="24" t="s">
        <v>244</v>
      </c>
      <c r="T429" s="31" t="s">
        <v>36</v>
      </c>
      <c r="U429" s="32" t="str">
        <f t="shared" si="3"/>
        <v>Sunday</v>
      </c>
      <c r="V429" s="7" t="s">
        <v>247</v>
      </c>
    </row>
    <row r="430">
      <c r="A430" s="7">
        <v>430.0</v>
      </c>
      <c r="B430" s="20">
        <v>46076.0</v>
      </c>
      <c r="C430" s="7">
        <v>27.0</v>
      </c>
      <c r="D430" s="7" t="s">
        <v>50</v>
      </c>
      <c r="F430" s="7" t="s">
        <v>37</v>
      </c>
      <c r="H430" s="7" t="s">
        <v>33</v>
      </c>
      <c r="I430" s="7" t="s">
        <v>37</v>
      </c>
      <c r="J430" s="21" t="s">
        <v>37</v>
      </c>
      <c r="K430" s="21">
        <v>1.55</v>
      </c>
      <c r="L430" s="4">
        <v>5.0</v>
      </c>
      <c r="M430" s="7" t="s">
        <v>34</v>
      </c>
      <c r="N430" s="22">
        <v>7.75</v>
      </c>
      <c r="O430" s="22">
        <v>2.75</v>
      </c>
      <c r="P430" s="26">
        <f t="shared" si="9"/>
        <v>332.32</v>
      </c>
      <c r="Q430" s="26">
        <f t="shared" si="7"/>
        <v>-42.69</v>
      </c>
      <c r="R430" s="27">
        <f t="shared" si="11"/>
        <v>-0.1138133333</v>
      </c>
      <c r="S430" s="24" t="s">
        <v>244</v>
      </c>
      <c r="T430" s="31" t="s">
        <v>36</v>
      </c>
      <c r="U430" s="32" t="str">
        <f t="shared" si="3"/>
        <v>Monday</v>
      </c>
      <c r="V430" s="7" t="s">
        <v>245</v>
      </c>
    </row>
    <row r="431">
      <c r="A431" s="7">
        <v>431.0</v>
      </c>
      <c r="B431" s="20">
        <v>46076.0</v>
      </c>
      <c r="C431" s="7">
        <v>27.0</v>
      </c>
      <c r="D431" s="7" t="s">
        <v>70</v>
      </c>
      <c r="F431" s="7" t="s">
        <v>70</v>
      </c>
      <c r="H431" s="7" t="s">
        <v>283</v>
      </c>
      <c r="I431" s="7" t="s">
        <v>70</v>
      </c>
      <c r="J431" s="21" t="s">
        <v>70</v>
      </c>
      <c r="K431" s="21">
        <v>2.86</v>
      </c>
      <c r="L431" s="4">
        <v>1.0</v>
      </c>
      <c r="M431" s="7" t="s">
        <v>44</v>
      </c>
      <c r="N431" s="22">
        <v>0.0</v>
      </c>
      <c r="O431" s="22">
        <v>-1.0</v>
      </c>
      <c r="P431" s="26">
        <f t="shared" si="9"/>
        <v>331.32</v>
      </c>
      <c r="Q431" s="26">
        <f t="shared" si="7"/>
        <v>-43.69</v>
      </c>
      <c r="R431" s="27">
        <f t="shared" si="11"/>
        <v>-0.11648</v>
      </c>
      <c r="S431" s="24" t="s">
        <v>244</v>
      </c>
      <c r="T431" s="31" t="s">
        <v>36</v>
      </c>
      <c r="U431" s="32" t="str">
        <f t="shared" si="3"/>
        <v>Monday</v>
      </c>
    </row>
    <row r="432">
      <c r="A432" s="7">
        <v>432.0</v>
      </c>
      <c r="B432" s="20">
        <v>46081.0</v>
      </c>
      <c r="C432" s="7">
        <v>28.0</v>
      </c>
      <c r="D432" s="7" t="s">
        <v>38</v>
      </c>
      <c r="F432" s="7" t="s">
        <v>42</v>
      </c>
      <c r="H432" s="7" t="s">
        <v>52</v>
      </c>
      <c r="I432" s="7" t="s">
        <v>42</v>
      </c>
      <c r="J432" s="21" t="s">
        <v>42</v>
      </c>
      <c r="K432" s="21">
        <v>1.36</v>
      </c>
      <c r="L432" s="4">
        <v>5.0</v>
      </c>
      <c r="M432" s="7" t="s">
        <v>44</v>
      </c>
      <c r="N432" s="22">
        <v>0.0</v>
      </c>
      <c r="O432" s="22">
        <v>-5.0</v>
      </c>
      <c r="P432" s="26">
        <f t="shared" si="9"/>
        <v>326.32</v>
      </c>
      <c r="Q432" s="26">
        <f t="shared" si="7"/>
        <v>-48.69</v>
      </c>
      <c r="R432" s="27">
        <f t="shared" si="11"/>
        <v>-0.1298133333</v>
      </c>
      <c r="S432" s="24" t="s">
        <v>244</v>
      </c>
      <c r="T432" s="31" t="s">
        <v>36</v>
      </c>
      <c r="U432" s="32" t="str">
        <f t="shared" si="3"/>
        <v>Saturday</v>
      </c>
      <c r="V432" s="7" t="s">
        <v>249</v>
      </c>
    </row>
    <row r="433">
      <c r="A433" s="7">
        <v>433.0</v>
      </c>
      <c r="B433" s="20">
        <v>46082.0</v>
      </c>
      <c r="C433" s="7">
        <v>28.0</v>
      </c>
      <c r="D433" s="7" t="s">
        <v>58</v>
      </c>
      <c r="F433" s="7" t="s">
        <v>250</v>
      </c>
      <c r="H433" s="7" t="s">
        <v>52</v>
      </c>
      <c r="I433" s="7" t="s">
        <v>58</v>
      </c>
      <c r="J433" s="21" t="s">
        <v>58</v>
      </c>
      <c r="K433" s="21">
        <v>1.35</v>
      </c>
      <c r="L433" s="4">
        <v>5.0</v>
      </c>
      <c r="M433" s="7" t="s">
        <v>95</v>
      </c>
      <c r="N433" s="22">
        <v>5.0</v>
      </c>
      <c r="O433" s="22">
        <v>0.0</v>
      </c>
      <c r="P433" s="26">
        <f t="shared" si="9"/>
        <v>326.32</v>
      </c>
      <c r="Q433" s="26">
        <f t="shared" si="7"/>
        <v>-48.69</v>
      </c>
      <c r="R433" s="27">
        <f t="shared" si="11"/>
        <v>-0.1298133333</v>
      </c>
      <c r="S433" s="24" t="s">
        <v>244</v>
      </c>
      <c r="T433" s="31" t="s">
        <v>36</v>
      </c>
      <c r="U433" s="32" t="str">
        <f t="shared" si="3"/>
        <v>Sunday</v>
      </c>
      <c r="V433" s="7" t="s">
        <v>245</v>
      </c>
    </row>
    <row r="434">
      <c r="A434" s="7">
        <v>434.0</v>
      </c>
      <c r="B434" s="20">
        <v>46082.0</v>
      </c>
      <c r="C434" s="7">
        <v>28.0</v>
      </c>
      <c r="D434" s="7" t="s">
        <v>61</v>
      </c>
      <c r="F434" s="7" t="s">
        <v>41</v>
      </c>
      <c r="H434" s="7" t="s">
        <v>33</v>
      </c>
      <c r="I434" s="7" t="s">
        <v>61</v>
      </c>
      <c r="J434" s="21" t="s">
        <v>61</v>
      </c>
      <c r="K434" s="21">
        <v>1.4</v>
      </c>
      <c r="L434" s="4">
        <v>5.0</v>
      </c>
      <c r="M434" s="7" t="s">
        <v>34</v>
      </c>
      <c r="N434" s="22">
        <v>7.0</v>
      </c>
      <c r="O434" s="22">
        <v>2.0</v>
      </c>
      <c r="P434" s="26">
        <f t="shared" si="9"/>
        <v>328.32</v>
      </c>
      <c r="Q434" s="26">
        <f t="shared" si="7"/>
        <v>-46.69</v>
      </c>
      <c r="R434" s="27">
        <f t="shared" si="11"/>
        <v>-0.12448</v>
      </c>
      <c r="S434" s="24" t="s">
        <v>244</v>
      </c>
      <c r="T434" s="31" t="s">
        <v>36</v>
      </c>
      <c r="U434" s="32" t="str">
        <f t="shared" si="3"/>
        <v>Sunday</v>
      </c>
      <c r="V434" s="7" t="s">
        <v>247</v>
      </c>
    </row>
    <row r="435">
      <c r="A435" s="7">
        <v>435.0</v>
      </c>
      <c r="B435" s="20">
        <v>46082.0</v>
      </c>
      <c r="C435" s="7">
        <v>28.0</v>
      </c>
      <c r="D435" s="7" t="s">
        <v>70</v>
      </c>
      <c r="F435" s="7" t="s">
        <v>70</v>
      </c>
      <c r="H435" s="7" t="s">
        <v>284</v>
      </c>
      <c r="I435" s="7" t="s">
        <v>70</v>
      </c>
      <c r="J435" s="21" t="s">
        <v>70</v>
      </c>
      <c r="K435" s="21">
        <v>2.61</v>
      </c>
      <c r="L435" s="4">
        <v>1.0</v>
      </c>
      <c r="M435" s="7" t="s">
        <v>44</v>
      </c>
      <c r="N435" s="22">
        <v>0.0</v>
      </c>
      <c r="O435" s="22">
        <v>-1.0</v>
      </c>
      <c r="P435" s="26">
        <f t="shared" si="9"/>
        <v>327.32</v>
      </c>
      <c r="Q435" s="26">
        <f t="shared" si="7"/>
        <v>-47.69</v>
      </c>
      <c r="R435" s="27">
        <f t="shared" si="11"/>
        <v>-0.1271466667</v>
      </c>
      <c r="S435" s="24" t="s">
        <v>244</v>
      </c>
      <c r="T435" s="31" t="s">
        <v>36</v>
      </c>
      <c r="U435" s="32" t="str">
        <f t="shared" si="3"/>
        <v>Sunday</v>
      </c>
    </row>
    <row r="436">
      <c r="A436" s="7">
        <v>436.0</v>
      </c>
      <c r="B436" s="20">
        <v>46085.0</v>
      </c>
      <c r="C436" s="7">
        <v>29.0</v>
      </c>
      <c r="D436" s="7" t="s">
        <v>38</v>
      </c>
      <c r="F436" s="7" t="s">
        <v>61</v>
      </c>
      <c r="H436" s="7" t="s">
        <v>33</v>
      </c>
      <c r="I436" s="7" t="s">
        <v>61</v>
      </c>
      <c r="J436" s="21" t="s">
        <v>61</v>
      </c>
      <c r="K436" s="21">
        <v>1.52</v>
      </c>
      <c r="L436" s="4">
        <v>5.0</v>
      </c>
      <c r="M436" s="7" t="s">
        <v>44</v>
      </c>
      <c r="N436" s="22">
        <v>0.0</v>
      </c>
      <c r="O436" s="22">
        <v>-5.0</v>
      </c>
      <c r="P436" s="26">
        <f t="shared" si="9"/>
        <v>322.32</v>
      </c>
      <c r="Q436" s="26">
        <f t="shared" si="7"/>
        <v>-52.69</v>
      </c>
      <c r="R436" s="27">
        <f t="shared" si="11"/>
        <v>-0.14048</v>
      </c>
      <c r="S436" s="24" t="s">
        <v>244</v>
      </c>
      <c r="T436" s="31" t="s">
        <v>36</v>
      </c>
      <c r="U436" s="32" t="str">
        <f t="shared" si="3"/>
        <v>Wednesday</v>
      </c>
      <c r="V436" s="7" t="s">
        <v>245</v>
      </c>
    </row>
    <row r="437">
      <c r="A437" s="7">
        <v>437.0</v>
      </c>
      <c r="B437" s="20">
        <v>46085.0</v>
      </c>
      <c r="C437" s="7">
        <v>29.0</v>
      </c>
      <c r="D437" s="7" t="s">
        <v>53</v>
      </c>
      <c r="F437" s="7" t="s">
        <v>78</v>
      </c>
      <c r="H437" s="7" t="s">
        <v>33</v>
      </c>
      <c r="I437" s="7" t="s">
        <v>53</v>
      </c>
      <c r="J437" s="21" t="s">
        <v>53</v>
      </c>
      <c r="K437" s="21">
        <v>1.4</v>
      </c>
      <c r="L437" s="4">
        <v>5.0</v>
      </c>
      <c r="M437" s="7" t="s">
        <v>44</v>
      </c>
      <c r="N437" s="22">
        <v>0.0</v>
      </c>
      <c r="O437" s="22">
        <v>-5.0</v>
      </c>
      <c r="P437" s="26">
        <f t="shared" si="9"/>
        <v>317.32</v>
      </c>
      <c r="Q437" s="26">
        <f t="shared" si="7"/>
        <v>-57.69</v>
      </c>
      <c r="R437" s="27">
        <f t="shared" si="11"/>
        <v>-0.1538133333</v>
      </c>
      <c r="S437" s="24" t="s">
        <v>244</v>
      </c>
      <c r="T437" s="31" t="s">
        <v>36</v>
      </c>
      <c r="U437" s="32" t="str">
        <f t="shared" si="3"/>
        <v>Wednesday</v>
      </c>
      <c r="V437" s="7" t="s">
        <v>247</v>
      </c>
    </row>
    <row r="438">
      <c r="A438" s="7">
        <v>438.0</v>
      </c>
      <c r="B438" s="20">
        <v>46086.0</v>
      </c>
      <c r="C438" s="7">
        <v>29.0</v>
      </c>
      <c r="D438" s="7" t="s">
        <v>32</v>
      </c>
      <c r="F438" s="7" t="s">
        <v>41</v>
      </c>
      <c r="H438" s="7" t="s">
        <v>52</v>
      </c>
      <c r="I438" s="7" t="s">
        <v>32</v>
      </c>
      <c r="J438" s="21" t="s">
        <v>32</v>
      </c>
      <c r="K438" s="21">
        <v>1.53</v>
      </c>
      <c r="L438" s="4">
        <v>5.0</v>
      </c>
      <c r="M438" s="7" t="s">
        <v>44</v>
      </c>
      <c r="N438" s="22">
        <v>0.0</v>
      </c>
      <c r="O438" s="22">
        <v>-5.0</v>
      </c>
      <c r="P438" s="26">
        <f t="shared" si="9"/>
        <v>312.32</v>
      </c>
      <c r="Q438" s="26">
        <f t="shared" si="7"/>
        <v>-62.69</v>
      </c>
      <c r="R438" s="27">
        <f t="shared" si="11"/>
        <v>-0.1671466667</v>
      </c>
      <c r="S438" s="24" t="s">
        <v>244</v>
      </c>
      <c r="T438" s="31" t="s">
        <v>36</v>
      </c>
      <c r="U438" s="32" t="str">
        <f t="shared" si="3"/>
        <v>Thursday</v>
      </c>
      <c r="V438" s="7" t="s">
        <v>249</v>
      </c>
    </row>
    <row r="439">
      <c r="A439" s="7">
        <v>439.0</v>
      </c>
      <c r="B439" s="20">
        <v>46097.0</v>
      </c>
      <c r="C439" s="7">
        <v>30.0</v>
      </c>
      <c r="D439" s="7" t="s">
        <v>78</v>
      </c>
      <c r="F439" s="7" t="s">
        <v>32</v>
      </c>
      <c r="H439" s="7" t="s">
        <v>55</v>
      </c>
      <c r="I439" s="7" t="s">
        <v>68</v>
      </c>
      <c r="J439" s="21" t="s">
        <v>32</v>
      </c>
      <c r="K439" s="21">
        <v>1.7</v>
      </c>
      <c r="L439" s="4">
        <v>5.0</v>
      </c>
      <c r="M439" s="7" t="s">
        <v>34</v>
      </c>
      <c r="N439" s="22">
        <v>8.5</v>
      </c>
      <c r="O439" s="22">
        <v>3.5</v>
      </c>
      <c r="P439" s="26">
        <f t="shared" si="9"/>
        <v>315.82</v>
      </c>
      <c r="Q439" s="26">
        <f t="shared" si="7"/>
        <v>-59.19</v>
      </c>
      <c r="R439" s="27">
        <f t="shared" si="11"/>
        <v>-0.1578133333</v>
      </c>
      <c r="S439" s="24" t="s">
        <v>244</v>
      </c>
      <c r="T439" s="31" t="s">
        <v>36</v>
      </c>
      <c r="U439" s="32" t="str">
        <f t="shared" si="3"/>
        <v>Monday</v>
      </c>
      <c r="V439" s="7" t="s">
        <v>245</v>
      </c>
    </row>
    <row r="440">
      <c r="A440" s="7">
        <v>440.0</v>
      </c>
      <c r="B440" s="20">
        <v>46097.0</v>
      </c>
      <c r="C440" s="7">
        <v>30.0</v>
      </c>
      <c r="D440" s="7" t="s">
        <v>46</v>
      </c>
      <c r="F440" s="7" t="s">
        <v>248</v>
      </c>
      <c r="H440" s="7" t="s">
        <v>52</v>
      </c>
      <c r="I440" s="7" t="s">
        <v>46</v>
      </c>
      <c r="J440" s="21" t="s">
        <v>46</v>
      </c>
      <c r="K440" s="21">
        <v>1.7</v>
      </c>
      <c r="L440" s="4">
        <v>5.0</v>
      </c>
      <c r="M440" s="7" t="s">
        <v>95</v>
      </c>
      <c r="N440" s="22">
        <v>5.0</v>
      </c>
      <c r="O440" s="22">
        <v>0.0</v>
      </c>
      <c r="P440" s="26">
        <f t="shared" si="9"/>
        <v>315.82</v>
      </c>
      <c r="Q440" s="26">
        <f t="shared" si="7"/>
        <v>-59.19</v>
      </c>
      <c r="R440" s="27">
        <f t="shared" si="11"/>
        <v>-0.1578133333</v>
      </c>
      <c r="S440" s="24" t="s">
        <v>244</v>
      </c>
      <c r="T440" s="31" t="s">
        <v>36</v>
      </c>
      <c r="U440" s="32" t="str">
        <f t="shared" si="3"/>
        <v>Monday</v>
      </c>
      <c r="V440" s="7" t="s">
        <v>247</v>
      </c>
    </row>
    <row r="441">
      <c r="A441" s="7">
        <v>441.0</v>
      </c>
      <c r="B441" s="20">
        <v>46097.0</v>
      </c>
      <c r="C441" s="7">
        <v>30.0</v>
      </c>
      <c r="D441" s="7" t="s">
        <v>46</v>
      </c>
      <c r="F441" s="7" t="s">
        <v>248</v>
      </c>
      <c r="H441" s="7" t="s">
        <v>52</v>
      </c>
      <c r="I441" s="7" t="s">
        <v>46</v>
      </c>
      <c r="J441" s="21" t="s">
        <v>46</v>
      </c>
      <c r="K441" s="21">
        <v>1.7</v>
      </c>
      <c r="L441" s="4">
        <v>5.0</v>
      </c>
      <c r="M441" s="7" t="s">
        <v>95</v>
      </c>
      <c r="N441" s="22">
        <v>5.0</v>
      </c>
      <c r="O441" s="22">
        <v>0.0</v>
      </c>
      <c r="P441" s="26">
        <f t="shared" si="9"/>
        <v>315.82</v>
      </c>
      <c r="Q441" s="26">
        <f t="shared" si="7"/>
        <v>-59.19</v>
      </c>
      <c r="R441" s="27">
        <f t="shared" si="11"/>
        <v>-0.1578133333</v>
      </c>
      <c r="S441" s="24" t="s">
        <v>244</v>
      </c>
      <c r="T441" s="31" t="s">
        <v>36</v>
      </c>
      <c r="U441" s="32" t="str">
        <f t="shared" si="3"/>
        <v>Monday</v>
      </c>
      <c r="V441" s="7" t="s">
        <v>249</v>
      </c>
    </row>
    <row r="442">
      <c r="B442" s="33"/>
      <c r="J442" s="25"/>
      <c r="K442" s="25"/>
      <c r="L442" s="8"/>
      <c r="N442" s="23"/>
      <c r="O442" s="23"/>
      <c r="P442" s="23"/>
      <c r="Q442" s="23"/>
      <c r="R442" s="9"/>
      <c r="S442" s="34"/>
      <c r="T442" s="34"/>
    </row>
    <row r="443">
      <c r="B443" s="33"/>
      <c r="J443" s="25"/>
      <c r="K443" s="25"/>
      <c r="L443" s="8"/>
      <c r="N443" s="23"/>
      <c r="O443" s="23"/>
      <c r="P443" s="23"/>
      <c r="Q443" s="23"/>
      <c r="R443" s="9"/>
      <c r="S443" s="34"/>
      <c r="T443" s="34"/>
    </row>
    <row r="444">
      <c r="B444" s="33"/>
      <c r="J444" s="25"/>
      <c r="K444" s="25"/>
      <c r="L444" s="8"/>
      <c r="N444" s="23"/>
      <c r="O444" s="23"/>
      <c r="P444" s="23"/>
      <c r="Q444" s="23"/>
      <c r="R444" s="9"/>
      <c r="S444" s="34"/>
      <c r="T444" s="34"/>
    </row>
    <row r="445">
      <c r="B445" s="33"/>
      <c r="J445" s="25"/>
      <c r="K445" s="25"/>
      <c r="L445" s="8"/>
      <c r="N445" s="23"/>
      <c r="O445" s="23"/>
      <c r="P445" s="23"/>
      <c r="Q445" s="23"/>
      <c r="R445" s="9"/>
      <c r="S445" s="34"/>
      <c r="T445" s="34"/>
    </row>
    <row r="446">
      <c r="B446" s="33"/>
      <c r="J446" s="25"/>
      <c r="K446" s="25"/>
      <c r="L446" s="8"/>
      <c r="N446" s="23"/>
      <c r="O446" s="23"/>
      <c r="P446" s="23"/>
      <c r="Q446" s="23"/>
      <c r="R446" s="9"/>
      <c r="S446" s="34"/>
      <c r="T446" s="34"/>
    </row>
    <row r="447">
      <c r="B447" s="33"/>
      <c r="J447" s="25"/>
      <c r="K447" s="25"/>
      <c r="L447" s="8"/>
      <c r="N447" s="23"/>
      <c r="O447" s="23"/>
      <c r="P447" s="23"/>
      <c r="Q447" s="23"/>
      <c r="R447" s="9"/>
      <c r="S447" s="34"/>
      <c r="T447" s="34"/>
    </row>
    <row r="448">
      <c r="B448" s="33"/>
      <c r="J448" s="25"/>
      <c r="K448" s="25"/>
      <c r="L448" s="8"/>
      <c r="N448" s="23"/>
      <c r="O448" s="23"/>
      <c r="P448" s="23"/>
      <c r="Q448" s="23"/>
      <c r="R448" s="9"/>
      <c r="S448" s="34"/>
      <c r="T448" s="34"/>
    </row>
    <row r="449">
      <c r="B449" s="33"/>
      <c r="J449" s="25"/>
      <c r="K449" s="25"/>
      <c r="L449" s="8"/>
      <c r="N449" s="23"/>
      <c r="O449" s="23"/>
      <c r="P449" s="23"/>
      <c r="Q449" s="23"/>
      <c r="R449" s="9"/>
      <c r="S449" s="34"/>
      <c r="T449" s="34"/>
    </row>
    <row r="450">
      <c r="B450" s="33"/>
      <c r="J450" s="25"/>
      <c r="K450" s="25"/>
      <c r="L450" s="8"/>
      <c r="N450" s="23"/>
      <c r="O450" s="23"/>
      <c r="P450" s="23"/>
      <c r="Q450" s="23"/>
      <c r="R450" s="9"/>
      <c r="S450" s="34"/>
      <c r="T450" s="34"/>
    </row>
    <row r="451">
      <c r="B451" s="33"/>
      <c r="J451" s="25"/>
      <c r="K451" s="25"/>
      <c r="L451" s="8"/>
      <c r="N451" s="23"/>
      <c r="O451" s="23"/>
      <c r="P451" s="23"/>
      <c r="Q451" s="23"/>
      <c r="R451" s="9"/>
      <c r="S451" s="34"/>
      <c r="T451" s="34"/>
    </row>
    <row r="452">
      <c r="B452" s="33"/>
      <c r="J452" s="25"/>
      <c r="K452" s="25"/>
      <c r="L452" s="8"/>
      <c r="N452" s="23"/>
      <c r="O452" s="23"/>
      <c r="P452" s="23"/>
      <c r="Q452" s="23"/>
      <c r="R452" s="9"/>
      <c r="S452" s="34"/>
      <c r="T452" s="34"/>
    </row>
    <row r="453">
      <c r="B453" s="33"/>
      <c r="J453" s="25"/>
      <c r="K453" s="25"/>
      <c r="L453" s="8"/>
      <c r="N453" s="23"/>
      <c r="O453" s="23"/>
      <c r="P453" s="23"/>
      <c r="Q453" s="23"/>
      <c r="R453" s="9"/>
      <c r="S453" s="34"/>
      <c r="T453" s="34"/>
    </row>
    <row r="454">
      <c r="B454" s="33"/>
      <c r="J454" s="25"/>
      <c r="K454" s="25"/>
      <c r="L454" s="8"/>
      <c r="N454" s="23"/>
      <c r="O454" s="23"/>
      <c r="P454" s="23"/>
      <c r="Q454" s="23"/>
      <c r="R454" s="9"/>
      <c r="S454" s="34"/>
      <c r="T454" s="34"/>
    </row>
    <row r="455">
      <c r="B455" s="33"/>
      <c r="J455" s="25"/>
      <c r="K455" s="25"/>
      <c r="L455" s="8"/>
      <c r="N455" s="23"/>
      <c r="O455" s="23"/>
      <c r="P455" s="23"/>
      <c r="Q455" s="23"/>
      <c r="R455" s="9"/>
      <c r="S455" s="34"/>
      <c r="T455" s="34"/>
    </row>
    <row r="456">
      <c r="B456" s="33"/>
      <c r="J456" s="25"/>
      <c r="K456" s="25"/>
      <c r="L456" s="8"/>
      <c r="N456" s="23"/>
      <c r="O456" s="23"/>
      <c r="P456" s="23"/>
      <c r="Q456" s="23"/>
      <c r="R456" s="9"/>
      <c r="S456" s="34"/>
      <c r="T456" s="34"/>
    </row>
    <row r="457">
      <c r="B457" s="33"/>
      <c r="J457" s="25"/>
      <c r="K457" s="25"/>
      <c r="L457" s="8"/>
      <c r="N457" s="23"/>
      <c r="O457" s="23"/>
      <c r="P457" s="23"/>
      <c r="Q457" s="23"/>
      <c r="R457" s="9"/>
      <c r="S457" s="34"/>
      <c r="T457" s="34"/>
    </row>
    <row r="458">
      <c r="B458" s="33"/>
      <c r="J458" s="25"/>
      <c r="K458" s="25"/>
      <c r="L458" s="8"/>
      <c r="N458" s="23"/>
      <c r="O458" s="23"/>
      <c r="P458" s="23"/>
      <c r="Q458" s="23"/>
      <c r="R458" s="9"/>
      <c r="S458" s="34"/>
      <c r="T458" s="34"/>
    </row>
    <row r="459">
      <c r="B459" s="33"/>
      <c r="J459" s="25"/>
      <c r="K459" s="25"/>
      <c r="L459" s="8"/>
      <c r="N459" s="23"/>
      <c r="O459" s="23"/>
      <c r="P459" s="23"/>
      <c r="Q459" s="23"/>
      <c r="R459" s="9"/>
      <c r="S459" s="34"/>
      <c r="T459" s="34"/>
    </row>
    <row r="460">
      <c r="B460" s="33"/>
      <c r="J460" s="25"/>
      <c r="K460" s="25"/>
      <c r="L460" s="8"/>
      <c r="N460" s="23"/>
      <c r="O460" s="23"/>
      <c r="P460" s="23"/>
      <c r="Q460" s="23"/>
      <c r="R460" s="9"/>
      <c r="S460" s="34"/>
      <c r="T460" s="34"/>
    </row>
    <row r="461">
      <c r="B461" s="33"/>
      <c r="J461" s="25"/>
      <c r="K461" s="25"/>
      <c r="L461" s="8"/>
      <c r="N461" s="23"/>
      <c r="O461" s="23"/>
      <c r="P461" s="23"/>
      <c r="Q461" s="23"/>
      <c r="R461" s="9"/>
      <c r="S461" s="34"/>
      <c r="T461" s="34"/>
    </row>
    <row r="462">
      <c r="B462" s="33"/>
      <c r="J462" s="25"/>
      <c r="K462" s="25"/>
      <c r="L462" s="8"/>
      <c r="N462" s="23"/>
      <c r="O462" s="23"/>
      <c r="P462" s="23"/>
      <c r="Q462" s="23"/>
      <c r="R462" s="9"/>
      <c r="S462" s="34"/>
      <c r="T462" s="34"/>
    </row>
    <row r="463">
      <c r="B463" s="33"/>
      <c r="J463" s="25"/>
      <c r="K463" s="25"/>
      <c r="L463" s="8"/>
      <c r="N463" s="23"/>
      <c r="O463" s="23"/>
      <c r="P463" s="23"/>
      <c r="Q463" s="23"/>
      <c r="R463" s="9"/>
      <c r="S463" s="34"/>
      <c r="T463" s="34"/>
    </row>
    <row r="464">
      <c r="B464" s="33"/>
      <c r="J464" s="25"/>
      <c r="K464" s="25"/>
      <c r="L464" s="8"/>
      <c r="N464" s="23"/>
      <c r="O464" s="23"/>
      <c r="P464" s="23"/>
      <c r="Q464" s="23"/>
      <c r="R464" s="9"/>
      <c r="S464" s="34"/>
      <c r="T464" s="34"/>
    </row>
    <row r="465">
      <c r="B465" s="33"/>
      <c r="J465" s="25"/>
      <c r="K465" s="25"/>
      <c r="L465" s="8"/>
      <c r="N465" s="23"/>
      <c r="O465" s="23"/>
      <c r="P465" s="23"/>
      <c r="Q465" s="23"/>
      <c r="R465" s="9"/>
      <c r="S465" s="34"/>
      <c r="T465" s="34"/>
    </row>
    <row r="466">
      <c r="B466" s="33"/>
      <c r="J466" s="25"/>
      <c r="K466" s="25"/>
      <c r="L466" s="8"/>
      <c r="N466" s="23"/>
      <c r="O466" s="23"/>
      <c r="P466" s="23"/>
      <c r="Q466" s="23"/>
      <c r="R466" s="9"/>
      <c r="S466" s="34"/>
      <c r="T466" s="34"/>
    </row>
    <row r="467">
      <c r="B467" s="33"/>
      <c r="J467" s="25"/>
      <c r="K467" s="25"/>
      <c r="L467" s="8"/>
      <c r="N467" s="23"/>
      <c r="O467" s="23"/>
      <c r="P467" s="23"/>
      <c r="Q467" s="23"/>
      <c r="R467" s="9"/>
      <c r="S467" s="34"/>
      <c r="T467" s="34"/>
    </row>
    <row r="468">
      <c r="B468" s="33"/>
      <c r="J468" s="25"/>
      <c r="K468" s="25"/>
      <c r="L468" s="8"/>
      <c r="N468" s="23"/>
      <c r="O468" s="23"/>
      <c r="P468" s="23"/>
      <c r="Q468" s="23"/>
      <c r="R468" s="9"/>
      <c r="S468" s="34"/>
      <c r="T468" s="34"/>
    </row>
    <row r="469">
      <c r="B469" s="33"/>
      <c r="J469" s="25"/>
      <c r="K469" s="25"/>
      <c r="L469" s="8"/>
      <c r="N469" s="23"/>
      <c r="O469" s="23"/>
      <c r="P469" s="23"/>
      <c r="Q469" s="23"/>
      <c r="R469" s="9"/>
      <c r="S469" s="34"/>
      <c r="T469" s="34"/>
    </row>
    <row r="470">
      <c r="B470" s="33"/>
      <c r="J470" s="25"/>
      <c r="K470" s="25"/>
      <c r="L470" s="8"/>
      <c r="N470" s="23"/>
      <c r="O470" s="23"/>
      <c r="P470" s="23"/>
      <c r="Q470" s="23"/>
      <c r="R470" s="9"/>
      <c r="S470" s="34"/>
      <c r="T470" s="34"/>
    </row>
    <row r="471">
      <c r="B471" s="33"/>
      <c r="J471" s="25"/>
      <c r="K471" s="25"/>
      <c r="L471" s="8"/>
      <c r="N471" s="23"/>
      <c r="O471" s="23"/>
      <c r="P471" s="23"/>
      <c r="Q471" s="23"/>
      <c r="R471" s="9"/>
      <c r="S471" s="34"/>
      <c r="T471" s="34"/>
    </row>
    <row r="472">
      <c r="B472" s="33"/>
      <c r="J472" s="25"/>
      <c r="K472" s="25"/>
      <c r="L472" s="8"/>
      <c r="N472" s="23"/>
      <c r="O472" s="23"/>
      <c r="P472" s="23"/>
      <c r="Q472" s="23"/>
      <c r="R472" s="9"/>
      <c r="S472" s="34"/>
      <c r="T472" s="34"/>
    </row>
    <row r="473">
      <c r="B473" s="33"/>
      <c r="J473" s="25"/>
      <c r="K473" s="25"/>
      <c r="L473" s="8"/>
      <c r="N473" s="23"/>
      <c r="O473" s="23"/>
      <c r="P473" s="23"/>
      <c r="Q473" s="23"/>
      <c r="R473" s="9"/>
      <c r="S473" s="34"/>
      <c r="T473" s="34"/>
    </row>
    <row r="474">
      <c r="B474" s="33"/>
      <c r="J474" s="25"/>
      <c r="K474" s="25"/>
      <c r="L474" s="8"/>
      <c r="N474" s="23"/>
      <c r="O474" s="23"/>
      <c r="P474" s="23"/>
      <c r="Q474" s="23"/>
      <c r="R474" s="9"/>
      <c r="S474" s="34"/>
      <c r="T474" s="34"/>
    </row>
    <row r="475">
      <c r="B475" s="33"/>
      <c r="J475" s="25"/>
      <c r="K475" s="25"/>
      <c r="L475" s="8"/>
      <c r="N475" s="23"/>
      <c r="O475" s="23"/>
      <c r="P475" s="23"/>
      <c r="Q475" s="23"/>
      <c r="R475" s="9"/>
      <c r="S475" s="34"/>
      <c r="T475" s="34"/>
    </row>
    <row r="476">
      <c r="B476" s="33"/>
      <c r="J476" s="25"/>
      <c r="K476" s="25"/>
      <c r="L476" s="8"/>
      <c r="N476" s="23"/>
      <c r="O476" s="23"/>
      <c r="P476" s="23"/>
      <c r="Q476" s="23"/>
      <c r="R476" s="9"/>
      <c r="S476" s="34"/>
      <c r="T476" s="34"/>
    </row>
    <row r="477">
      <c r="B477" s="33"/>
      <c r="J477" s="25"/>
      <c r="K477" s="25"/>
      <c r="L477" s="8"/>
      <c r="N477" s="23"/>
      <c r="O477" s="23"/>
      <c r="P477" s="23"/>
      <c r="Q477" s="23"/>
      <c r="R477" s="9"/>
      <c r="S477" s="34"/>
      <c r="T477" s="34"/>
    </row>
    <row r="478">
      <c r="B478" s="33"/>
      <c r="J478" s="25"/>
      <c r="K478" s="25"/>
      <c r="L478" s="8"/>
      <c r="N478" s="23"/>
      <c r="O478" s="23"/>
      <c r="P478" s="23"/>
      <c r="Q478" s="23"/>
      <c r="R478" s="9"/>
      <c r="S478" s="34"/>
      <c r="T478" s="34"/>
    </row>
    <row r="479">
      <c r="B479" s="33"/>
      <c r="J479" s="25"/>
      <c r="K479" s="25"/>
      <c r="L479" s="8"/>
      <c r="N479" s="23"/>
      <c r="O479" s="23"/>
      <c r="P479" s="23"/>
      <c r="Q479" s="23"/>
      <c r="R479" s="9"/>
      <c r="S479" s="34"/>
      <c r="T479" s="34"/>
    </row>
    <row r="480">
      <c r="B480" s="33"/>
      <c r="J480" s="25"/>
      <c r="K480" s="25"/>
      <c r="L480" s="8"/>
      <c r="N480" s="23"/>
      <c r="O480" s="23"/>
      <c r="P480" s="23"/>
      <c r="Q480" s="23"/>
      <c r="R480" s="9"/>
      <c r="S480" s="34"/>
      <c r="T480" s="34"/>
    </row>
    <row r="481">
      <c r="B481" s="33"/>
      <c r="J481" s="25"/>
      <c r="K481" s="25"/>
      <c r="L481" s="8"/>
      <c r="N481" s="23"/>
      <c r="O481" s="23"/>
      <c r="P481" s="23"/>
      <c r="Q481" s="23"/>
      <c r="R481" s="9"/>
      <c r="S481" s="34"/>
      <c r="T481" s="34"/>
    </row>
    <row r="482">
      <c r="B482" s="33"/>
      <c r="J482" s="25"/>
      <c r="K482" s="25"/>
      <c r="L482" s="8"/>
      <c r="N482" s="23"/>
      <c r="O482" s="23"/>
      <c r="P482" s="23"/>
      <c r="Q482" s="23"/>
      <c r="R482" s="9"/>
      <c r="S482" s="34"/>
      <c r="T482" s="34"/>
    </row>
    <row r="483">
      <c r="B483" s="33"/>
      <c r="J483" s="25"/>
      <c r="K483" s="25"/>
      <c r="L483" s="8"/>
      <c r="N483" s="23"/>
      <c r="O483" s="23"/>
      <c r="P483" s="23"/>
      <c r="Q483" s="23"/>
      <c r="R483" s="9"/>
      <c r="S483" s="34"/>
      <c r="T483" s="34"/>
    </row>
    <row r="484">
      <c r="B484" s="33"/>
      <c r="J484" s="25"/>
      <c r="K484" s="25"/>
      <c r="L484" s="8"/>
      <c r="N484" s="23"/>
      <c r="O484" s="23"/>
      <c r="P484" s="23"/>
      <c r="Q484" s="23"/>
      <c r="R484" s="9"/>
      <c r="S484" s="34"/>
      <c r="T484" s="34"/>
    </row>
    <row r="485">
      <c r="B485" s="33"/>
      <c r="J485" s="25"/>
      <c r="K485" s="25"/>
      <c r="L485" s="8"/>
      <c r="N485" s="23"/>
      <c r="O485" s="23"/>
      <c r="P485" s="23"/>
      <c r="Q485" s="23"/>
      <c r="R485" s="9"/>
      <c r="S485" s="34"/>
      <c r="T485" s="34"/>
    </row>
    <row r="486">
      <c r="B486" s="33"/>
      <c r="J486" s="25"/>
      <c r="K486" s="25"/>
      <c r="L486" s="8"/>
      <c r="N486" s="23"/>
      <c r="O486" s="23"/>
      <c r="P486" s="23"/>
      <c r="Q486" s="23"/>
      <c r="R486" s="9"/>
      <c r="S486" s="34"/>
      <c r="T486" s="34"/>
    </row>
    <row r="487">
      <c r="B487" s="33"/>
      <c r="J487" s="25"/>
      <c r="K487" s="25"/>
      <c r="L487" s="8"/>
      <c r="N487" s="23"/>
      <c r="O487" s="23"/>
      <c r="P487" s="23"/>
      <c r="Q487" s="23"/>
      <c r="R487" s="9"/>
      <c r="S487" s="34"/>
      <c r="T487" s="34"/>
    </row>
    <row r="488">
      <c r="B488" s="33"/>
      <c r="J488" s="25"/>
      <c r="K488" s="25"/>
      <c r="L488" s="8"/>
      <c r="N488" s="23"/>
      <c r="O488" s="23"/>
      <c r="P488" s="23"/>
      <c r="Q488" s="23"/>
      <c r="R488" s="9"/>
      <c r="S488" s="34"/>
      <c r="T488" s="34"/>
    </row>
    <row r="489">
      <c r="B489" s="33"/>
      <c r="J489" s="25"/>
      <c r="K489" s="25"/>
      <c r="L489" s="8"/>
      <c r="N489" s="23"/>
      <c r="O489" s="23"/>
      <c r="P489" s="23"/>
      <c r="Q489" s="23"/>
      <c r="R489" s="9"/>
      <c r="S489" s="34"/>
      <c r="T489" s="34"/>
    </row>
    <row r="490">
      <c r="B490" s="33"/>
      <c r="J490" s="25"/>
      <c r="K490" s="25"/>
      <c r="L490" s="8"/>
      <c r="N490" s="23"/>
      <c r="O490" s="23"/>
      <c r="P490" s="23"/>
      <c r="Q490" s="23"/>
      <c r="R490" s="9"/>
      <c r="S490" s="34"/>
      <c r="T490" s="34"/>
    </row>
    <row r="491">
      <c r="B491" s="33"/>
      <c r="J491" s="25"/>
      <c r="K491" s="25"/>
      <c r="L491" s="8"/>
      <c r="N491" s="23"/>
      <c r="O491" s="23"/>
      <c r="P491" s="23"/>
      <c r="Q491" s="23"/>
      <c r="R491" s="9"/>
      <c r="S491" s="34"/>
      <c r="T491" s="34"/>
    </row>
    <row r="492">
      <c r="B492" s="33"/>
      <c r="J492" s="25"/>
      <c r="K492" s="25"/>
      <c r="L492" s="8"/>
      <c r="N492" s="23"/>
      <c r="O492" s="23"/>
      <c r="P492" s="23"/>
      <c r="Q492" s="23"/>
      <c r="R492" s="9"/>
      <c r="S492" s="34"/>
      <c r="T492" s="34"/>
    </row>
    <row r="493">
      <c r="B493" s="33"/>
      <c r="J493" s="25"/>
      <c r="K493" s="25"/>
      <c r="L493" s="8"/>
      <c r="N493" s="23"/>
      <c r="O493" s="23"/>
      <c r="P493" s="23"/>
      <c r="Q493" s="23"/>
      <c r="R493" s="9"/>
      <c r="S493" s="34"/>
      <c r="T493" s="34"/>
    </row>
    <row r="494">
      <c r="B494" s="33"/>
      <c r="J494" s="25"/>
      <c r="K494" s="25"/>
      <c r="L494" s="8"/>
      <c r="N494" s="23"/>
      <c r="O494" s="23"/>
      <c r="P494" s="23"/>
      <c r="Q494" s="23"/>
      <c r="R494" s="9"/>
      <c r="S494" s="34"/>
      <c r="T494" s="34"/>
    </row>
    <row r="495">
      <c r="B495" s="33"/>
      <c r="J495" s="25"/>
      <c r="K495" s="25"/>
      <c r="L495" s="8"/>
      <c r="N495" s="23"/>
      <c r="O495" s="23"/>
      <c r="P495" s="23"/>
      <c r="Q495" s="23"/>
      <c r="R495" s="9"/>
      <c r="S495" s="34"/>
      <c r="T495" s="34"/>
    </row>
    <row r="496">
      <c r="B496" s="33"/>
      <c r="J496" s="25"/>
      <c r="K496" s="25"/>
      <c r="L496" s="8"/>
      <c r="N496" s="23"/>
      <c r="O496" s="23"/>
      <c r="P496" s="23"/>
      <c r="Q496" s="23"/>
      <c r="R496" s="9"/>
      <c r="S496" s="34"/>
      <c r="T496" s="34"/>
    </row>
    <row r="497">
      <c r="B497" s="33"/>
      <c r="J497" s="25"/>
      <c r="K497" s="25"/>
      <c r="L497" s="8"/>
      <c r="N497" s="23"/>
      <c r="O497" s="23"/>
      <c r="P497" s="23"/>
      <c r="Q497" s="23"/>
      <c r="R497" s="9"/>
      <c r="S497" s="34"/>
      <c r="T497" s="34"/>
    </row>
    <row r="498">
      <c r="B498" s="33"/>
      <c r="J498" s="25"/>
      <c r="K498" s="25"/>
      <c r="L498" s="8"/>
      <c r="N498" s="23"/>
      <c r="O498" s="23"/>
      <c r="P498" s="23"/>
      <c r="Q498" s="23"/>
      <c r="R498" s="9"/>
      <c r="S498" s="34"/>
      <c r="T498" s="34"/>
    </row>
    <row r="499">
      <c r="B499" s="33"/>
      <c r="J499" s="25"/>
      <c r="K499" s="25"/>
      <c r="L499" s="8"/>
      <c r="N499" s="23"/>
      <c r="O499" s="23"/>
      <c r="P499" s="23"/>
      <c r="Q499" s="23"/>
      <c r="R499" s="9"/>
      <c r="S499" s="34"/>
      <c r="T499" s="34"/>
    </row>
    <row r="500">
      <c r="B500" s="33"/>
      <c r="J500" s="25"/>
      <c r="K500" s="25"/>
      <c r="L500" s="8"/>
      <c r="N500" s="23"/>
      <c r="O500" s="23"/>
      <c r="P500" s="23"/>
      <c r="Q500" s="23"/>
      <c r="R500" s="9"/>
      <c r="S500" s="34"/>
      <c r="T500" s="34"/>
    </row>
    <row r="501">
      <c r="B501" s="33"/>
      <c r="J501" s="25"/>
      <c r="K501" s="25"/>
      <c r="L501" s="8"/>
      <c r="N501" s="23"/>
      <c r="O501" s="23"/>
      <c r="P501" s="23"/>
      <c r="Q501" s="23"/>
      <c r="R501" s="9"/>
      <c r="S501" s="34"/>
      <c r="T501" s="34"/>
    </row>
    <row r="502">
      <c r="B502" s="33"/>
      <c r="J502" s="25"/>
      <c r="K502" s="25"/>
      <c r="L502" s="8"/>
      <c r="N502" s="23"/>
      <c r="O502" s="23"/>
      <c r="P502" s="23"/>
      <c r="Q502" s="23"/>
      <c r="R502" s="9"/>
      <c r="S502" s="34"/>
      <c r="T502" s="34"/>
    </row>
    <row r="503">
      <c r="B503" s="33"/>
      <c r="J503" s="25"/>
      <c r="K503" s="25"/>
      <c r="L503" s="8"/>
      <c r="N503" s="23"/>
      <c r="O503" s="23"/>
      <c r="P503" s="23"/>
      <c r="Q503" s="23"/>
      <c r="R503" s="9"/>
      <c r="S503" s="34"/>
      <c r="T503" s="34"/>
    </row>
    <row r="504">
      <c r="B504" s="33"/>
      <c r="J504" s="25"/>
      <c r="K504" s="25"/>
      <c r="L504" s="8"/>
      <c r="N504" s="23"/>
      <c r="O504" s="23"/>
      <c r="P504" s="23"/>
      <c r="Q504" s="23"/>
      <c r="R504" s="9"/>
      <c r="S504" s="34"/>
      <c r="T504" s="34"/>
    </row>
    <row r="505">
      <c r="B505" s="33"/>
      <c r="J505" s="25"/>
      <c r="K505" s="25"/>
      <c r="L505" s="8"/>
      <c r="N505" s="23"/>
      <c r="O505" s="23"/>
      <c r="P505" s="23"/>
      <c r="Q505" s="23"/>
      <c r="R505" s="9"/>
      <c r="S505" s="34"/>
      <c r="T505" s="34"/>
    </row>
    <row r="506">
      <c r="B506" s="33"/>
      <c r="J506" s="25"/>
      <c r="K506" s="25"/>
      <c r="L506" s="8"/>
      <c r="N506" s="23"/>
      <c r="O506" s="23"/>
      <c r="P506" s="23"/>
      <c r="Q506" s="23"/>
      <c r="R506" s="9"/>
      <c r="S506" s="34"/>
      <c r="T506" s="34"/>
    </row>
    <row r="507">
      <c r="B507" s="33"/>
      <c r="J507" s="25"/>
      <c r="K507" s="25"/>
      <c r="L507" s="8"/>
      <c r="N507" s="23"/>
      <c r="O507" s="23"/>
      <c r="P507" s="23"/>
      <c r="Q507" s="23"/>
      <c r="R507" s="9"/>
      <c r="S507" s="34"/>
      <c r="T507" s="34"/>
    </row>
    <row r="508">
      <c r="B508" s="33"/>
      <c r="J508" s="25"/>
      <c r="K508" s="25"/>
      <c r="L508" s="8"/>
      <c r="N508" s="23"/>
      <c r="O508" s="23"/>
      <c r="P508" s="23"/>
      <c r="Q508" s="23"/>
      <c r="R508" s="9"/>
      <c r="S508" s="34"/>
      <c r="T508" s="34"/>
    </row>
    <row r="509">
      <c r="B509" s="33"/>
      <c r="J509" s="25"/>
      <c r="K509" s="25"/>
      <c r="L509" s="8"/>
      <c r="N509" s="23"/>
      <c r="O509" s="23"/>
      <c r="P509" s="23"/>
      <c r="Q509" s="23"/>
      <c r="R509" s="9"/>
      <c r="S509" s="34"/>
      <c r="T509" s="34"/>
    </row>
    <row r="510">
      <c r="B510" s="33"/>
      <c r="J510" s="25"/>
      <c r="K510" s="25"/>
      <c r="L510" s="8"/>
      <c r="N510" s="23"/>
      <c r="O510" s="23"/>
      <c r="P510" s="23"/>
      <c r="Q510" s="23"/>
      <c r="R510" s="9"/>
      <c r="S510" s="34"/>
      <c r="T510" s="34"/>
    </row>
    <row r="511">
      <c r="B511" s="33"/>
      <c r="J511" s="25"/>
      <c r="K511" s="25"/>
      <c r="L511" s="8"/>
      <c r="N511" s="23"/>
      <c r="O511" s="23"/>
      <c r="P511" s="23"/>
      <c r="Q511" s="23"/>
      <c r="R511" s="9"/>
      <c r="S511" s="34"/>
      <c r="T511" s="34"/>
    </row>
    <row r="512">
      <c r="B512" s="33"/>
      <c r="J512" s="25"/>
      <c r="K512" s="25"/>
      <c r="L512" s="8"/>
      <c r="N512" s="23"/>
      <c r="O512" s="23"/>
      <c r="P512" s="23"/>
      <c r="Q512" s="23"/>
      <c r="R512" s="9"/>
      <c r="S512" s="34"/>
      <c r="T512" s="34"/>
    </row>
    <row r="513">
      <c r="B513" s="33"/>
      <c r="J513" s="25"/>
      <c r="K513" s="25"/>
      <c r="L513" s="8"/>
      <c r="N513" s="23"/>
      <c r="O513" s="23"/>
      <c r="P513" s="23"/>
      <c r="Q513" s="23"/>
      <c r="R513" s="9"/>
      <c r="S513" s="34"/>
      <c r="T513" s="34"/>
    </row>
    <row r="514">
      <c r="B514" s="33"/>
      <c r="J514" s="25"/>
      <c r="K514" s="25"/>
      <c r="L514" s="8"/>
      <c r="N514" s="23"/>
      <c r="O514" s="23"/>
      <c r="P514" s="23"/>
      <c r="Q514" s="23"/>
      <c r="R514" s="9"/>
      <c r="S514" s="34"/>
      <c r="T514" s="34"/>
    </row>
    <row r="515">
      <c r="B515" s="33"/>
      <c r="J515" s="25"/>
      <c r="K515" s="25"/>
      <c r="L515" s="8"/>
      <c r="N515" s="23"/>
      <c r="O515" s="23"/>
      <c r="P515" s="23"/>
      <c r="Q515" s="23"/>
      <c r="R515" s="9"/>
      <c r="S515" s="34"/>
      <c r="T515" s="34"/>
    </row>
    <row r="516">
      <c r="B516" s="33"/>
      <c r="J516" s="25"/>
      <c r="K516" s="25"/>
      <c r="L516" s="8"/>
      <c r="N516" s="23"/>
      <c r="O516" s="23"/>
      <c r="P516" s="23"/>
      <c r="Q516" s="23"/>
      <c r="R516" s="9"/>
      <c r="S516" s="34"/>
      <c r="T516" s="34"/>
    </row>
    <row r="517">
      <c r="B517" s="33"/>
      <c r="J517" s="25"/>
      <c r="K517" s="25"/>
      <c r="L517" s="8"/>
      <c r="N517" s="23"/>
      <c r="O517" s="23"/>
      <c r="P517" s="23"/>
      <c r="Q517" s="23"/>
      <c r="R517" s="9"/>
      <c r="S517" s="34"/>
      <c r="T517" s="34"/>
    </row>
    <row r="518">
      <c r="B518" s="33"/>
      <c r="J518" s="25"/>
      <c r="K518" s="25"/>
      <c r="L518" s="8"/>
      <c r="N518" s="23"/>
      <c r="O518" s="23"/>
      <c r="P518" s="23"/>
      <c r="Q518" s="23"/>
      <c r="R518" s="9"/>
      <c r="S518" s="34"/>
      <c r="T518" s="34"/>
    </row>
    <row r="519">
      <c r="B519" s="33"/>
      <c r="J519" s="25"/>
      <c r="K519" s="25"/>
      <c r="L519" s="8"/>
      <c r="N519" s="23"/>
      <c r="O519" s="23"/>
      <c r="P519" s="23"/>
      <c r="Q519" s="23"/>
      <c r="R519" s="9"/>
      <c r="S519" s="34"/>
      <c r="T519" s="34"/>
    </row>
    <row r="520">
      <c r="B520" s="33"/>
      <c r="J520" s="25"/>
      <c r="K520" s="25"/>
      <c r="L520" s="8"/>
      <c r="N520" s="23"/>
      <c r="O520" s="23"/>
      <c r="P520" s="23"/>
      <c r="Q520" s="23"/>
      <c r="R520" s="9"/>
      <c r="S520" s="34"/>
      <c r="T520" s="34"/>
    </row>
    <row r="521">
      <c r="B521" s="33"/>
      <c r="J521" s="25"/>
      <c r="K521" s="25"/>
      <c r="L521" s="8"/>
      <c r="N521" s="23"/>
      <c r="O521" s="23"/>
      <c r="P521" s="23"/>
      <c r="Q521" s="23"/>
      <c r="R521" s="9"/>
      <c r="S521" s="34"/>
      <c r="T521" s="34"/>
    </row>
    <row r="522">
      <c r="B522" s="33"/>
      <c r="J522" s="25"/>
      <c r="K522" s="25"/>
      <c r="L522" s="8"/>
      <c r="N522" s="23"/>
      <c r="O522" s="23"/>
      <c r="P522" s="23"/>
      <c r="Q522" s="23"/>
      <c r="R522" s="9"/>
      <c r="S522" s="34"/>
      <c r="T522" s="34"/>
    </row>
    <row r="523">
      <c r="B523" s="33"/>
      <c r="J523" s="25"/>
      <c r="K523" s="25"/>
      <c r="L523" s="8"/>
      <c r="N523" s="23"/>
      <c r="O523" s="23"/>
      <c r="P523" s="23"/>
      <c r="Q523" s="23"/>
      <c r="R523" s="9"/>
      <c r="S523" s="34"/>
      <c r="T523" s="34"/>
    </row>
    <row r="524">
      <c r="B524" s="33"/>
      <c r="J524" s="25"/>
      <c r="K524" s="25"/>
      <c r="L524" s="8"/>
      <c r="N524" s="23"/>
      <c r="O524" s="23"/>
      <c r="P524" s="23"/>
      <c r="Q524" s="23"/>
      <c r="R524" s="9"/>
      <c r="S524" s="34"/>
      <c r="T524" s="34"/>
    </row>
    <row r="525">
      <c r="B525" s="33"/>
      <c r="J525" s="25"/>
      <c r="K525" s="25"/>
      <c r="L525" s="8"/>
      <c r="N525" s="23"/>
      <c r="O525" s="23"/>
      <c r="P525" s="23"/>
      <c r="Q525" s="23"/>
      <c r="R525" s="9"/>
      <c r="S525" s="34"/>
      <c r="T525" s="34"/>
    </row>
    <row r="526">
      <c r="B526" s="33"/>
      <c r="J526" s="25"/>
      <c r="K526" s="25"/>
      <c r="L526" s="8"/>
      <c r="N526" s="23"/>
      <c r="O526" s="23"/>
      <c r="P526" s="23"/>
      <c r="Q526" s="23"/>
      <c r="R526" s="9"/>
      <c r="S526" s="34"/>
      <c r="T526" s="34"/>
    </row>
    <row r="527">
      <c r="B527" s="33"/>
      <c r="J527" s="25"/>
      <c r="K527" s="25"/>
      <c r="L527" s="8"/>
      <c r="N527" s="23"/>
      <c r="O527" s="23"/>
      <c r="P527" s="23"/>
      <c r="Q527" s="23"/>
      <c r="R527" s="9"/>
      <c r="S527" s="34"/>
      <c r="T527" s="34"/>
    </row>
    <row r="528">
      <c r="B528" s="33"/>
      <c r="J528" s="25"/>
      <c r="K528" s="25"/>
      <c r="L528" s="8"/>
      <c r="N528" s="23"/>
      <c r="O528" s="23"/>
      <c r="P528" s="23"/>
      <c r="Q528" s="23"/>
      <c r="R528" s="9"/>
      <c r="S528" s="34"/>
      <c r="T528" s="34"/>
    </row>
    <row r="529">
      <c r="B529" s="33"/>
      <c r="J529" s="25"/>
      <c r="K529" s="25"/>
      <c r="L529" s="8"/>
      <c r="N529" s="23"/>
      <c r="O529" s="23"/>
      <c r="P529" s="23"/>
      <c r="Q529" s="23"/>
      <c r="R529" s="9"/>
      <c r="S529" s="34"/>
      <c r="T529" s="34"/>
    </row>
    <row r="530">
      <c r="B530" s="33"/>
      <c r="J530" s="25"/>
      <c r="K530" s="25"/>
      <c r="L530" s="8"/>
      <c r="N530" s="23"/>
      <c r="O530" s="23"/>
      <c r="P530" s="23"/>
      <c r="Q530" s="23"/>
      <c r="R530" s="9"/>
      <c r="S530" s="34"/>
      <c r="T530" s="34"/>
    </row>
    <row r="531">
      <c r="B531" s="33"/>
      <c r="J531" s="25"/>
      <c r="K531" s="25"/>
      <c r="L531" s="8"/>
      <c r="N531" s="23"/>
      <c r="O531" s="23"/>
      <c r="P531" s="23"/>
      <c r="Q531" s="23"/>
      <c r="R531" s="9"/>
      <c r="S531" s="34"/>
      <c r="T531" s="34"/>
    </row>
    <row r="532">
      <c r="B532" s="33"/>
      <c r="J532" s="25"/>
      <c r="K532" s="25"/>
      <c r="L532" s="8"/>
      <c r="N532" s="23"/>
      <c r="O532" s="23"/>
      <c r="P532" s="23"/>
      <c r="Q532" s="23"/>
      <c r="R532" s="9"/>
      <c r="S532" s="34"/>
      <c r="T532" s="34"/>
    </row>
    <row r="533">
      <c r="B533" s="33"/>
      <c r="J533" s="25"/>
      <c r="K533" s="25"/>
      <c r="L533" s="8"/>
      <c r="N533" s="23"/>
      <c r="O533" s="23"/>
      <c r="P533" s="23"/>
      <c r="Q533" s="23"/>
      <c r="R533" s="9"/>
      <c r="S533" s="34"/>
      <c r="T533" s="34"/>
    </row>
    <row r="534">
      <c r="B534" s="33"/>
      <c r="J534" s="25"/>
      <c r="K534" s="25"/>
      <c r="L534" s="8"/>
      <c r="N534" s="23"/>
      <c r="O534" s="23"/>
      <c r="P534" s="23"/>
      <c r="Q534" s="23"/>
      <c r="R534" s="9"/>
      <c r="S534" s="34"/>
      <c r="T534" s="34"/>
    </row>
    <row r="535">
      <c r="B535" s="33"/>
      <c r="J535" s="25"/>
      <c r="K535" s="25"/>
      <c r="L535" s="8"/>
      <c r="N535" s="23"/>
      <c r="O535" s="23"/>
      <c r="P535" s="23"/>
      <c r="Q535" s="23"/>
      <c r="R535" s="9"/>
      <c r="S535" s="34"/>
      <c r="T535" s="34"/>
    </row>
    <row r="536">
      <c r="B536" s="33"/>
      <c r="J536" s="25"/>
      <c r="K536" s="25"/>
      <c r="L536" s="8"/>
      <c r="N536" s="23"/>
      <c r="O536" s="23"/>
      <c r="P536" s="23"/>
      <c r="Q536" s="23"/>
      <c r="R536" s="9"/>
      <c r="S536" s="34"/>
      <c r="T536" s="34"/>
    </row>
    <row r="537">
      <c r="B537" s="33"/>
      <c r="J537" s="25"/>
      <c r="K537" s="25"/>
      <c r="L537" s="8"/>
      <c r="N537" s="23"/>
      <c r="O537" s="23"/>
      <c r="P537" s="23"/>
      <c r="Q537" s="23"/>
      <c r="R537" s="9"/>
      <c r="S537" s="34"/>
      <c r="T537" s="34"/>
    </row>
    <row r="538">
      <c r="B538" s="33"/>
      <c r="J538" s="25"/>
      <c r="K538" s="25"/>
      <c r="L538" s="8"/>
      <c r="N538" s="23"/>
      <c r="O538" s="23"/>
      <c r="P538" s="23"/>
      <c r="Q538" s="23"/>
      <c r="R538" s="9"/>
      <c r="S538" s="34"/>
      <c r="T538" s="34"/>
    </row>
    <row r="539">
      <c r="B539" s="33"/>
      <c r="J539" s="25"/>
      <c r="K539" s="25"/>
      <c r="L539" s="8"/>
      <c r="N539" s="23"/>
      <c r="O539" s="23"/>
      <c r="P539" s="23"/>
      <c r="Q539" s="23"/>
      <c r="R539" s="9"/>
      <c r="S539" s="34"/>
      <c r="T539" s="34"/>
    </row>
    <row r="540">
      <c r="B540" s="33"/>
      <c r="J540" s="25"/>
      <c r="K540" s="25"/>
      <c r="L540" s="8"/>
      <c r="N540" s="23"/>
      <c r="O540" s="23"/>
      <c r="P540" s="23"/>
      <c r="Q540" s="23"/>
      <c r="R540" s="9"/>
      <c r="S540" s="34"/>
      <c r="T540" s="34"/>
    </row>
    <row r="541">
      <c r="B541" s="33"/>
      <c r="J541" s="25"/>
      <c r="K541" s="25"/>
      <c r="L541" s="8"/>
      <c r="N541" s="23"/>
      <c r="O541" s="23"/>
      <c r="P541" s="23"/>
      <c r="Q541" s="23"/>
      <c r="R541" s="9"/>
      <c r="S541" s="34"/>
      <c r="T541" s="34"/>
    </row>
    <row r="542">
      <c r="B542" s="33"/>
      <c r="J542" s="25"/>
      <c r="K542" s="25"/>
      <c r="L542" s="8"/>
      <c r="N542" s="23"/>
      <c r="O542" s="23"/>
      <c r="P542" s="23"/>
      <c r="Q542" s="23"/>
      <c r="R542" s="9"/>
      <c r="S542" s="34"/>
      <c r="T542" s="34"/>
    </row>
    <row r="543">
      <c r="B543" s="33"/>
      <c r="J543" s="25"/>
      <c r="K543" s="25"/>
      <c r="L543" s="8"/>
      <c r="N543" s="23"/>
      <c r="O543" s="23"/>
      <c r="P543" s="23"/>
      <c r="Q543" s="23"/>
      <c r="R543" s="9"/>
      <c r="S543" s="34"/>
      <c r="T543" s="34"/>
    </row>
    <row r="544">
      <c r="B544" s="33"/>
      <c r="J544" s="25"/>
      <c r="K544" s="25"/>
      <c r="L544" s="8"/>
      <c r="N544" s="23"/>
      <c r="O544" s="23"/>
      <c r="P544" s="23"/>
      <c r="Q544" s="23"/>
      <c r="R544" s="9"/>
      <c r="S544" s="34"/>
      <c r="T544" s="34"/>
    </row>
    <row r="545">
      <c r="B545" s="33"/>
      <c r="J545" s="25"/>
      <c r="K545" s="25"/>
      <c r="L545" s="8"/>
      <c r="N545" s="23"/>
      <c r="O545" s="23"/>
      <c r="P545" s="23"/>
      <c r="Q545" s="23"/>
      <c r="R545" s="9"/>
      <c r="S545" s="34"/>
      <c r="T545" s="34"/>
    </row>
    <row r="546">
      <c r="B546" s="33"/>
      <c r="J546" s="25"/>
      <c r="K546" s="25"/>
      <c r="L546" s="8"/>
      <c r="N546" s="23"/>
      <c r="O546" s="23"/>
      <c r="P546" s="23"/>
      <c r="Q546" s="23"/>
      <c r="R546" s="9"/>
      <c r="S546" s="34"/>
      <c r="T546" s="34"/>
    </row>
    <row r="547">
      <c r="B547" s="33"/>
      <c r="J547" s="25"/>
      <c r="K547" s="25"/>
      <c r="L547" s="8"/>
      <c r="N547" s="23"/>
      <c r="O547" s="23"/>
      <c r="P547" s="23"/>
      <c r="Q547" s="23"/>
      <c r="R547" s="9"/>
      <c r="S547" s="34"/>
      <c r="T547" s="34"/>
    </row>
    <row r="548">
      <c r="B548" s="33"/>
      <c r="J548" s="25"/>
      <c r="K548" s="25"/>
      <c r="L548" s="8"/>
      <c r="N548" s="23"/>
      <c r="O548" s="23"/>
      <c r="P548" s="23"/>
      <c r="Q548" s="23"/>
      <c r="R548" s="9"/>
      <c r="S548" s="34"/>
      <c r="T548" s="34"/>
    </row>
    <row r="549">
      <c r="B549" s="33"/>
      <c r="J549" s="25"/>
      <c r="K549" s="25"/>
      <c r="L549" s="8"/>
      <c r="N549" s="23"/>
      <c r="O549" s="23"/>
      <c r="P549" s="23"/>
      <c r="Q549" s="23"/>
      <c r="R549" s="9"/>
      <c r="S549" s="34"/>
      <c r="T549" s="34"/>
    </row>
    <row r="550">
      <c r="B550" s="33"/>
      <c r="J550" s="25"/>
      <c r="K550" s="25"/>
      <c r="L550" s="8"/>
      <c r="N550" s="23"/>
      <c r="O550" s="23"/>
      <c r="P550" s="23"/>
      <c r="Q550" s="23"/>
      <c r="R550" s="9"/>
      <c r="S550" s="34"/>
      <c r="T550" s="34"/>
    </row>
    <row r="551">
      <c r="B551" s="33"/>
      <c r="J551" s="25"/>
      <c r="K551" s="25"/>
      <c r="L551" s="8"/>
      <c r="N551" s="23"/>
      <c r="O551" s="23"/>
      <c r="P551" s="23"/>
      <c r="Q551" s="23"/>
      <c r="R551" s="9"/>
      <c r="S551" s="34"/>
      <c r="T551" s="34"/>
    </row>
    <row r="552">
      <c r="B552" s="33"/>
      <c r="J552" s="25"/>
      <c r="K552" s="25"/>
      <c r="L552" s="8"/>
      <c r="N552" s="23"/>
      <c r="O552" s="23"/>
      <c r="P552" s="23"/>
      <c r="Q552" s="23"/>
      <c r="R552" s="9"/>
      <c r="S552" s="34"/>
      <c r="T552" s="34"/>
    </row>
    <row r="553">
      <c r="B553" s="33"/>
      <c r="J553" s="25"/>
      <c r="K553" s="25"/>
      <c r="L553" s="8"/>
      <c r="N553" s="23"/>
      <c r="O553" s="23"/>
      <c r="P553" s="23"/>
      <c r="Q553" s="23"/>
      <c r="R553" s="9"/>
      <c r="S553" s="34"/>
      <c r="T553" s="34"/>
    </row>
    <row r="554">
      <c r="B554" s="33"/>
      <c r="J554" s="25"/>
      <c r="K554" s="25"/>
      <c r="L554" s="8"/>
      <c r="N554" s="23"/>
      <c r="O554" s="23"/>
      <c r="P554" s="23"/>
      <c r="Q554" s="23"/>
      <c r="R554" s="9"/>
      <c r="S554" s="34"/>
      <c r="T554" s="34"/>
    </row>
    <row r="555">
      <c r="B555" s="33"/>
      <c r="J555" s="25"/>
      <c r="K555" s="25"/>
      <c r="L555" s="8"/>
      <c r="N555" s="23"/>
      <c r="O555" s="23"/>
      <c r="P555" s="23"/>
      <c r="Q555" s="23"/>
      <c r="R555" s="9"/>
      <c r="S555" s="34"/>
      <c r="T555" s="34"/>
    </row>
    <row r="556">
      <c r="B556" s="33"/>
      <c r="J556" s="25"/>
      <c r="K556" s="25"/>
      <c r="L556" s="8"/>
      <c r="N556" s="23"/>
      <c r="O556" s="23"/>
      <c r="P556" s="23"/>
      <c r="Q556" s="23"/>
      <c r="R556" s="9"/>
      <c r="S556" s="34"/>
      <c r="T556" s="34"/>
    </row>
    <row r="557">
      <c r="B557" s="33"/>
      <c r="J557" s="25"/>
      <c r="K557" s="25"/>
      <c r="L557" s="8"/>
      <c r="N557" s="23"/>
      <c r="O557" s="23"/>
      <c r="P557" s="23"/>
      <c r="Q557" s="23"/>
      <c r="R557" s="9"/>
      <c r="S557" s="34"/>
      <c r="T557" s="34"/>
    </row>
    <row r="558">
      <c r="B558" s="33"/>
      <c r="J558" s="25"/>
      <c r="K558" s="25"/>
      <c r="L558" s="8"/>
      <c r="N558" s="23"/>
      <c r="O558" s="23"/>
      <c r="P558" s="23"/>
      <c r="Q558" s="23"/>
      <c r="R558" s="9"/>
      <c r="S558" s="34"/>
      <c r="T558" s="34"/>
    </row>
    <row r="559">
      <c r="B559" s="33"/>
      <c r="J559" s="25"/>
      <c r="K559" s="25"/>
      <c r="L559" s="8"/>
      <c r="N559" s="23"/>
      <c r="O559" s="23"/>
      <c r="P559" s="23"/>
      <c r="Q559" s="23"/>
      <c r="R559" s="9"/>
      <c r="S559" s="34"/>
      <c r="T559" s="34"/>
    </row>
    <row r="560">
      <c r="B560" s="33"/>
      <c r="J560" s="25"/>
      <c r="K560" s="25"/>
      <c r="L560" s="8"/>
      <c r="N560" s="23"/>
      <c r="O560" s="23"/>
      <c r="P560" s="23"/>
      <c r="Q560" s="23"/>
      <c r="R560" s="9"/>
      <c r="S560" s="34"/>
      <c r="T560" s="34"/>
    </row>
    <row r="561">
      <c r="B561" s="33"/>
      <c r="J561" s="25"/>
      <c r="K561" s="25"/>
      <c r="L561" s="8"/>
      <c r="N561" s="23"/>
      <c r="O561" s="23"/>
      <c r="P561" s="23"/>
      <c r="Q561" s="23"/>
      <c r="R561" s="9"/>
      <c r="S561" s="34"/>
      <c r="T561" s="34"/>
    </row>
    <row r="562">
      <c r="B562" s="33"/>
      <c r="J562" s="25"/>
      <c r="K562" s="25"/>
      <c r="L562" s="8"/>
      <c r="N562" s="23"/>
      <c r="O562" s="23"/>
      <c r="P562" s="23"/>
      <c r="Q562" s="23"/>
      <c r="R562" s="9"/>
      <c r="S562" s="34"/>
      <c r="T562" s="34"/>
    </row>
    <row r="563">
      <c r="B563" s="33"/>
      <c r="J563" s="25"/>
      <c r="K563" s="25"/>
      <c r="L563" s="8"/>
      <c r="N563" s="23"/>
      <c r="O563" s="23"/>
      <c r="P563" s="23"/>
      <c r="Q563" s="23"/>
      <c r="R563" s="9"/>
      <c r="S563" s="34"/>
      <c r="T563" s="34"/>
    </row>
    <row r="564">
      <c r="B564" s="33"/>
      <c r="J564" s="25"/>
      <c r="K564" s="25"/>
      <c r="L564" s="8"/>
      <c r="N564" s="23"/>
      <c r="O564" s="23"/>
      <c r="P564" s="23"/>
      <c r="Q564" s="23"/>
      <c r="R564" s="9"/>
      <c r="S564" s="34"/>
      <c r="T564" s="34"/>
    </row>
    <row r="565">
      <c r="B565" s="33"/>
      <c r="J565" s="25"/>
      <c r="K565" s="25"/>
      <c r="L565" s="8"/>
      <c r="N565" s="23"/>
      <c r="O565" s="23"/>
      <c r="P565" s="23"/>
      <c r="Q565" s="23"/>
      <c r="R565" s="9"/>
      <c r="S565" s="34"/>
      <c r="T565" s="34"/>
    </row>
    <row r="566">
      <c r="B566" s="33"/>
      <c r="J566" s="25"/>
      <c r="K566" s="25"/>
      <c r="L566" s="8"/>
      <c r="N566" s="23"/>
      <c r="O566" s="23"/>
      <c r="P566" s="23"/>
      <c r="Q566" s="23"/>
      <c r="R566" s="9"/>
      <c r="S566" s="34"/>
      <c r="T566" s="34"/>
    </row>
    <row r="567">
      <c r="B567" s="33"/>
      <c r="J567" s="25"/>
      <c r="K567" s="25"/>
      <c r="L567" s="8"/>
      <c r="N567" s="23"/>
      <c r="O567" s="23"/>
      <c r="P567" s="23"/>
      <c r="Q567" s="23"/>
      <c r="R567" s="9"/>
      <c r="S567" s="34"/>
      <c r="T567" s="34"/>
    </row>
    <row r="568">
      <c r="B568" s="33"/>
      <c r="J568" s="25"/>
      <c r="K568" s="25"/>
      <c r="L568" s="8"/>
      <c r="N568" s="23"/>
      <c r="O568" s="23"/>
      <c r="P568" s="23"/>
      <c r="Q568" s="23"/>
      <c r="R568" s="9"/>
      <c r="S568" s="34"/>
      <c r="T568" s="34"/>
    </row>
    <row r="569">
      <c r="B569" s="33"/>
      <c r="J569" s="25"/>
      <c r="K569" s="25"/>
      <c r="L569" s="8"/>
      <c r="N569" s="23"/>
      <c r="O569" s="23"/>
      <c r="P569" s="23"/>
      <c r="Q569" s="23"/>
      <c r="R569" s="9"/>
      <c r="S569" s="34"/>
      <c r="T569" s="34"/>
    </row>
    <row r="570">
      <c r="B570" s="33"/>
      <c r="J570" s="25"/>
      <c r="K570" s="25"/>
      <c r="L570" s="8"/>
      <c r="N570" s="23"/>
      <c r="O570" s="23"/>
      <c r="P570" s="23"/>
      <c r="Q570" s="23"/>
      <c r="R570" s="9"/>
      <c r="S570" s="34"/>
      <c r="T570" s="34"/>
    </row>
    <row r="571">
      <c r="B571" s="33"/>
      <c r="J571" s="25"/>
      <c r="K571" s="25"/>
      <c r="L571" s="8"/>
      <c r="N571" s="23"/>
      <c r="O571" s="23"/>
      <c r="P571" s="23"/>
      <c r="Q571" s="23"/>
      <c r="R571" s="9"/>
      <c r="S571" s="34"/>
      <c r="T571" s="34"/>
    </row>
    <row r="572">
      <c r="B572" s="33"/>
      <c r="J572" s="25"/>
      <c r="K572" s="25"/>
      <c r="L572" s="8"/>
      <c r="N572" s="23"/>
      <c r="O572" s="23"/>
      <c r="P572" s="23"/>
      <c r="Q572" s="23"/>
      <c r="R572" s="9"/>
      <c r="S572" s="34"/>
      <c r="T572" s="34"/>
    </row>
    <row r="573">
      <c r="B573" s="33"/>
      <c r="J573" s="25"/>
      <c r="K573" s="25"/>
      <c r="L573" s="8"/>
      <c r="N573" s="23"/>
      <c r="O573" s="23"/>
      <c r="P573" s="23"/>
      <c r="Q573" s="23"/>
      <c r="R573" s="9"/>
      <c r="S573" s="34"/>
      <c r="T573" s="34"/>
    </row>
    <row r="574">
      <c r="B574" s="33"/>
      <c r="J574" s="25"/>
      <c r="K574" s="25"/>
      <c r="L574" s="8"/>
      <c r="N574" s="23"/>
      <c r="O574" s="23"/>
      <c r="P574" s="23"/>
      <c r="Q574" s="23"/>
      <c r="R574" s="9"/>
      <c r="S574" s="34"/>
      <c r="T574" s="34"/>
    </row>
    <row r="575">
      <c r="B575" s="33"/>
      <c r="J575" s="25"/>
      <c r="K575" s="25"/>
      <c r="L575" s="8"/>
      <c r="N575" s="23"/>
      <c r="O575" s="23"/>
      <c r="P575" s="23"/>
      <c r="Q575" s="23"/>
      <c r="R575" s="9"/>
      <c r="S575" s="34"/>
      <c r="T575" s="34"/>
    </row>
    <row r="576">
      <c r="B576" s="33"/>
      <c r="J576" s="25"/>
      <c r="K576" s="25"/>
      <c r="L576" s="8"/>
      <c r="N576" s="23"/>
      <c r="O576" s="23"/>
      <c r="P576" s="23"/>
      <c r="Q576" s="23"/>
      <c r="R576" s="9"/>
      <c r="S576" s="34"/>
      <c r="T576" s="34"/>
    </row>
    <row r="577">
      <c r="B577" s="33"/>
      <c r="J577" s="25"/>
      <c r="K577" s="25"/>
      <c r="L577" s="8"/>
      <c r="N577" s="23"/>
      <c r="O577" s="23"/>
      <c r="P577" s="23"/>
      <c r="Q577" s="23"/>
      <c r="R577" s="9"/>
      <c r="S577" s="34"/>
      <c r="T577" s="34"/>
    </row>
    <row r="578">
      <c r="B578" s="33"/>
      <c r="J578" s="25"/>
      <c r="K578" s="25"/>
      <c r="L578" s="8"/>
      <c r="N578" s="23"/>
      <c r="O578" s="23"/>
      <c r="P578" s="23"/>
      <c r="Q578" s="23"/>
      <c r="R578" s="9"/>
      <c r="S578" s="34"/>
      <c r="T578" s="34"/>
    </row>
    <row r="579">
      <c r="B579" s="33"/>
      <c r="J579" s="25"/>
      <c r="K579" s="25"/>
      <c r="L579" s="8"/>
      <c r="N579" s="23"/>
      <c r="O579" s="23"/>
      <c r="P579" s="23"/>
      <c r="Q579" s="23"/>
      <c r="R579" s="9"/>
      <c r="S579" s="34"/>
      <c r="T579" s="34"/>
    </row>
    <row r="580">
      <c r="B580" s="33"/>
      <c r="J580" s="25"/>
      <c r="K580" s="25"/>
      <c r="L580" s="8"/>
      <c r="N580" s="23"/>
      <c r="O580" s="23"/>
      <c r="P580" s="23"/>
      <c r="Q580" s="23"/>
      <c r="R580" s="9"/>
      <c r="S580" s="34"/>
      <c r="T580" s="34"/>
    </row>
    <row r="581">
      <c r="B581" s="33"/>
      <c r="J581" s="25"/>
      <c r="K581" s="25"/>
      <c r="L581" s="8"/>
      <c r="N581" s="23"/>
      <c r="O581" s="23"/>
      <c r="P581" s="23"/>
      <c r="Q581" s="23"/>
      <c r="R581" s="9"/>
      <c r="S581" s="34"/>
      <c r="T581" s="34"/>
    </row>
    <row r="582">
      <c r="B582" s="33"/>
      <c r="J582" s="25"/>
      <c r="K582" s="25"/>
      <c r="L582" s="8"/>
      <c r="N582" s="23"/>
      <c r="O582" s="23"/>
      <c r="P582" s="23"/>
      <c r="Q582" s="23"/>
      <c r="R582" s="9"/>
      <c r="S582" s="34"/>
      <c r="T582" s="34"/>
    </row>
    <row r="583">
      <c r="B583" s="33"/>
      <c r="J583" s="25"/>
      <c r="K583" s="25"/>
      <c r="L583" s="8"/>
      <c r="N583" s="23"/>
      <c r="O583" s="23"/>
      <c r="P583" s="23"/>
      <c r="Q583" s="23"/>
      <c r="R583" s="9"/>
      <c r="S583" s="34"/>
      <c r="T583" s="34"/>
    </row>
    <row r="584">
      <c r="B584" s="33"/>
      <c r="J584" s="25"/>
      <c r="K584" s="25"/>
      <c r="L584" s="8"/>
      <c r="N584" s="23"/>
      <c r="O584" s="23"/>
      <c r="P584" s="23"/>
      <c r="Q584" s="23"/>
      <c r="R584" s="9"/>
      <c r="S584" s="34"/>
      <c r="T584" s="34"/>
    </row>
    <row r="585">
      <c r="B585" s="33"/>
      <c r="J585" s="25"/>
      <c r="K585" s="25"/>
      <c r="L585" s="8"/>
      <c r="N585" s="23"/>
      <c r="O585" s="23"/>
      <c r="P585" s="23"/>
      <c r="Q585" s="23"/>
      <c r="R585" s="9"/>
      <c r="S585" s="34"/>
      <c r="T585" s="34"/>
    </row>
    <row r="586">
      <c r="B586" s="33"/>
      <c r="J586" s="25"/>
      <c r="K586" s="25"/>
      <c r="L586" s="8"/>
      <c r="N586" s="23"/>
      <c r="O586" s="23"/>
      <c r="P586" s="23"/>
      <c r="Q586" s="23"/>
      <c r="R586" s="9"/>
      <c r="S586" s="34"/>
      <c r="T586" s="34"/>
    </row>
    <row r="587">
      <c r="B587" s="33"/>
      <c r="J587" s="25"/>
      <c r="K587" s="25"/>
      <c r="L587" s="8"/>
      <c r="N587" s="23"/>
      <c r="O587" s="23"/>
      <c r="P587" s="23"/>
      <c r="Q587" s="23"/>
      <c r="R587" s="9"/>
      <c r="S587" s="34"/>
      <c r="T587" s="34"/>
    </row>
    <row r="588">
      <c r="B588" s="33"/>
      <c r="J588" s="25"/>
      <c r="K588" s="25"/>
      <c r="L588" s="8"/>
      <c r="N588" s="23"/>
      <c r="O588" s="23"/>
      <c r="P588" s="23"/>
      <c r="Q588" s="23"/>
      <c r="R588" s="9"/>
      <c r="S588" s="34"/>
      <c r="T588" s="34"/>
    </row>
    <row r="589">
      <c r="B589" s="33"/>
      <c r="J589" s="25"/>
      <c r="K589" s="25"/>
      <c r="L589" s="8"/>
      <c r="N589" s="23"/>
      <c r="O589" s="23"/>
      <c r="P589" s="23"/>
      <c r="Q589" s="23"/>
      <c r="R589" s="9"/>
      <c r="S589" s="34"/>
      <c r="T589" s="34"/>
    </row>
    <row r="590">
      <c r="B590" s="33"/>
      <c r="J590" s="25"/>
      <c r="K590" s="25"/>
      <c r="L590" s="8"/>
      <c r="N590" s="23"/>
      <c r="O590" s="23"/>
      <c r="P590" s="23"/>
      <c r="Q590" s="23"/>
      <c r="R590" s="9"/>
      <c r="S590" s="34"/>
      <c r="T590" s="34"/>
    </row>
    <row r="591">
      <c r="B591" s="33"/>
      <c r="J591" s="25"/>
      <c r="K591" s="25"/>
      <c r="L591" s="8"/>
      <c r="N591" s="23"/>
      <c r="O591" s="23"/>
      <c r="P591" s="23"/>
      <c r="Q591" s="23"/>
      <c r="R591" s="9"/>
      <c r="S591" s="34"/>
      <c r="T591" s="34"/>
    </row>
    <row r="592">
      <c r="B592" s="33"/>
      <c r="J592" s="25"/>
      <c r="K592" s="25"/>
      <c r="L592" s="8"/>
      <c r="N592" s="23"/>
      <c r="O592" s="23"/>
      <c r="P592" s="23"/>
      <c r="Q592" s="23"/>
      <c r="R592" s="9"/>
      <c r="S592" s="34"/>
      <c r="T592" s="34"/>
    </row>
    <row r="593">
      <c r="B593" s="33"/>
      <c r="J593" s="25"/>
      <c r="K593" s="25"/>
      <c r="L593" s="8"/>
      <c r="N593" s="23"/>
      <c r="O593" s="23"/>
      <c r="P593" s="23"/>
      <c r="Q593" s="23"/>
      <c r="R593" s="9"/>
      <c r="S593" s="34"/>
      <c r="T593" s="34"/>
    </row>
    <row r="594">
      <c r="B594" s="33"/>
      <c r="J594" s="25"/>
      <c r="K594" s="25"/>
      <c r="L594" s="8"/>
      <c r="N594" s="23"/>
      <c r="O594" s="23"/>
      <c r="P594" s="23"/>
      <c r="Q594" s="23"/>
      <c r="R594" s="9"/>
      <c r="S594" s="34"/>
      <c r="T594" s="34"/>
    </row>
    <row r="595">
      <c r="B595" s="33"/>
      <c r="J595" s="25"/>
      <c r="K595" s="25"/>
      <c r="L595" s="8"/>
      <c r="N595" s="23"/>
      <c r="O595" s="23"/>
      <c r="P595" s="23"/>
      <c r="Q595" s="23"/>
      <c r="R595" s="9"/>
      <c r="S595" s="34"/>
      <c r="T595" s="34"/>
    </row>
    <row r="596">
      <c r="B596" s="33"/>
      <c r="J596" s="25"/>
      <c r="K596" s="25"/>
      <c r="L596" s="8"/>
      <c r="N596" s="23"/>
      <c r="O596" s="23"/>
      <c r="P596" s="23"/>
      <c r="Q596" s="23"/>
      <c r="R596" s="9"/>
      <c r="S596" s="34"/>
      <c r="T596" s="34"/>
    </row>
    <row r="597">
      <c r="B597" s="33"/>
      <c r="J597" s="25"/>
      <c r="K597" s="25"/>
      <c r="L597" s="8"/>
      <c r="N597" s="23"/>
      <c r="O597" s="23"/>
      <c r="P597" s="23"/>
      <c r="Q597" s="23"/>
      <c r="R597" s="9"/>
      <c r="S597" s="34"/>
      <c r="T597" s="34"/>
    </row>
    <row r="598">
      <c r="B598" s="33"/>
      <c r="J598" s="25"/>
      <c r="K598" s="25"/>
      <c r="L598" s="8"/>
      <c r="N598" s="23"/>
      <c r="O598" s="23"/>
      <c r="P598" s="23"/>
      <c r="Q598" s="23"/>
      <c r="R598" s="9"/>
      <c r="S598" s="34"/>
      <c r="T598" s="34"/>
    </row>
    <row r="599">
      <c r="B599" s="33"/>
      <c r="J599" s="25"/>
      <c r="K599" s="25"/>
      <c r="L599" s="8"/>
      <c r="N599" s="23"/>
      <c r="O599" s="23"/>
      <c r="P599" s="23"/>
      <c r="Q599" s="23"/>
      <c r="R599" s="9"/>
      <c r="S599" s="34"/>
      <c r="T599" s="34"/>
    </row>
    <row r="600">
      <c r="B600" s="33"/>
      <c r="J600" s="25"/>
      <c r="K600" s="25"/>
      <c r="L600" s="8"/>
      <c r="N600" s="23"/>
      <c r="O600" s="23"/>
      <c r="P600" s="23"/>
      <c r="Q600" s="23"/>
      <c r="R600" s="9"/>
      <c r="S600" s="34"/>
      <c r="T600" s="34"/>
    </row>
    <row r="601">
      <c r="B601" s="33"/>
      <c r="J601" s="25"/>
      <c r="K601" s="25"/>
      <c r="L601" s="8"/>
      <c r="N601" s="23"/>
      <c r="O601" s="23"/>
      <c r="P601" s="23"/>
      <c r="Q601" s="23"/>
      <c r="R601" s="9"/>
      <c r="S601" s="34"/>
      <c r="T601" s="34"/>
    </row>
    <row r="602">
      <c r="B602" s="33"/>
      <c r="J602" s="25"/>
      <c r="K602" s="25"/>
      <c r="L602" s="8"/>
      <c r="N602" s="23"/>
      <c r="O602" s="23"/>
      <c r="P602" s="23"/>
      <c r="Q602" s="23"/>
      <c r="R602" s="9"/>
      <c r="S602" s="34"/>
      <c r="T602" s="34"/>
    </row>
    <row r="603">
      <c r="B603" s="33"/>
      <c r="J603" s="25"/>
      <c r="K603" s="25"/>
      <c r="L603" s="8"/>
      <c r="N603" s="23"/>
      <c r="O603" s="23"/>
      <c r="P603" s="23"/>
      <c r="Q603" s="23"/>
      <c r="R603" s="9"/>
      <c r="S603" s="34"/>
      <c r="T603" s="34"/>
    </row>
    <row r="604">
      <c r="B604" s="33"/>
      <c r="J604" s="25"/>
      <c r="K604" s="25"/>
      <c r="L604" s="8"/>
      <c r="N604" s="23"/>
      <c r="O604" s="23"/>
      <c r="P604" s="23"/>
      <c r="Q604" s="23"/>
      <c r="R604" s="9"/>
      <c r="S604" s="34"/>
      <c r="T604" s="34"/>
    </row>
    <row r="605">
      <c r="B605" s="33"/>
      <c r="J605" s="25"/>
      <c r="K605" s="25"/>
      <c r="L605" s="8"/>
      <c r="N605" s="23"/>
      <c r="O605" s="23"/>
      <c r="P605" s="23"/>
      <c r="Q605" s="23"/>
      <c r="R605" s="9"/>
      <c r="S605" s="34"/>
      <c r="T605" s="34"/>
    </row>
    <row r="606">
      <c r="B606" s="33"/>
      <c r="J606" s="25"/>
      <c r="K606" s="25"/>
      <c r="L606" s="8"/>
      <c r="N606" s="23"/>
      <c r="O606" s="23"/>
      <c r="P606" s="23"/>
      <c r="Q606" s="23"/>
      <c r="R606" s="9"/>
      <c r="S606" s="34"/>
      <c r="T606" s="34"/>
    </row>
    <row r="607">
      <c r="B607" s="33"/>
      <c r="J607" s="25"/>
      <c r="K607" s="25"/>
      <c r="L607" s="8"/>
      <c r="N607" s="23"/>
      <c r="O607" s="23"/>
      <c r="P607" s="23"/>
      <c r="Q607" s="23"/>
      <c r="R607" s="9"/>
      <c r="S607" s="34"/>
      <c r="T607" s="34"/>
    </row>
    <row r="608">
      <c r="B608" s="33"/>
      <c r="J608" s="25"/>
      <c r="K608" s="25"/>
      <c r="L608" s="8"/>
      <c r="N608" s="23"/>
      <c r="O608" s="23"/>
      <c r="P608" s="23"/>
      <c r="Q608" s="23"/>
      <c r="R608" s="9"/>
      <c r="S608" s="34"/>
      <c r="T608" s="34"/>
    </row>
    <row r="609">
      <c r="B609" s="33"/>
      <c r="J609" s="25"/>
      <c r="K609" s="25"/>
      <c r="L609" s="8"/>
      <c r="N609" s="23"/>
      <c r="O609" s="23"/>
      <c r="P609" s="23"/>
      <c r="Q609" s="23"/>
      <c r="R609" s="9"/>
      <c r="S609" s="34"/>
      <c r="T609" s="34"/>
    </row>
    <row r="610">
      <c r="B610" s="33"/>
      <c r="J610" s="25"/>
      <c r="K610" s="25"/>
      <c r="L610" s="8"/>
      <c r="N610" s="23"/>
      <c r="O610" s="23"/>
      <c r="P610" s="23"/>
      <c r="Q610" s="23"/>
      <c r="R610" s="9"/>
      <c r="S610" s="34"/>
      <c r="T610" s="34"/>
    </row>
    <row r="611">
      <c r="B611" s="33"/>
      <c r="J611" s="25"/>
      <c r="K611" s="25"/>
      <c r="L611" s="8"/>
      <c r="N611" s="23"/>
      <c r="O611" s="23"/>
      <c r="P611" s="23"/>
      <c r="Q611" s="23"/>
      <c r="R611" s="9"/>
      <c r="S611" s="34"/>
      <c r="T611" s="34"/>
    </row>
    <row r="612">
      <c r="B612" s="33"/>
      <c r="J612" s="25"/>
      <c r="K612" s="25"/>
      <c r="L612" s="8"/>
      <c r="N612" s="23"/>
      <c r="O612" s="23"/>
      <c r="P612" s="23"/>
      <c r="Q612" s="23"/>
      <c r="R612" s="9"/>
      <c r="S612" s="34"/>
      <c r="T612" s="34"/>
    </row>
    <row r="613">
      <c r="B613" s="33"/>
      <c r="J613" s="25"/>
      <c r="K613" s="25"/>
      <c r="L613" s="8"/>
      <c r="N613" s="23"/>
      <c r="O613" s="23"/>
      <c r="P613" s="23"/>
      <c r="Q613" s="23"/>
      <c r="R613" s="9"/>
      <c r="S613" s="34"/>
      <c r="T613" s="34"/>
    </row>
    <row r="614">
      <c r="B614" s="33"/>
      <c r="J614" s="25"/>
      <c r="K614" s="25"/>
      <c r="L614" s="8"/>
      <c r="N614" s="23"/>
      <c r="O614" s="23"/>
      <c r="P614" s="23"/>
      <c r="Q614" s="23"/>
      <c r="R614" s="9"/>
      <c r="S614" s="34"/>
      <c r="T614" s="34"/>
    </row>
    <row r="615">
      <c r="B615" s="33"/>
      <c r="J615" s="25"/>
      <c r="K615" s="25"/>
      <c r="L615" s="8"/>
      <c r="N615" s="23"/>
      <c r="O615" s="23"/>
      <c r="P615" s="23"/>
      <c r="Q615" s="23"/>
      <c r="R615" s="9"/>
      <c r="S615" s="34"/>
      <c r="T615" s="34"/>
    </row>
    <row r="616">
      <c r="B616" s="33"/>
      <c r="J616" s="25"/>
      <c r="K616" s="25"/>
      <c r="L616" s="8"/>
      <c r="N616" s="23"/>
      <c r="O616" s="23"/>
      <c r="P616" s="23"/>
      <c r="Q616" s="23"/>
      <c r="R616" s="9"/>
      <c r="S616" s="34"/>
      <c r="T616" s="34"/>
    </row>
    <row r="617">
      <c r="B617" s="33"/>
      <c r="J617" s="25"/>
      <c r="K617" s="25"/>
      <c r="L617" s="8"/>
      <c r="N617" s="23"/>
      <c r="O617" s="23"/>
      <c r="P617" s="23"/>
      <c r="Q617" s="23"/>
      <c r="R617" s="9"/>
      <c r="S617" s="34"/>
      <c r="T617" s="34"/>
    </row>
    <row r="618">
      <c r="B618" s="33"/>
      <c r="J618" s="25"/>
      <c r="K618" s="25"/>
      <c r="L618" s="8"/>
      <c r="N618" s="23"/>
      <c r="O618" s="23"/>
      <c r="P618" s="23"/>
      <c r="Q618" s="23"/>
      <c r="R618" s="9"/>
      <c r="S618" s="34"/>
      <c r="T618" s="34"/>
    </row>
    <row r="619">
      <c r="B619" s="33"/>
      <c r="J619" s="25"/>
      <c r="K619" s="25"/>
      <c r="L619" s="8"/>
      <c r="N619" s="23"/>
      <c r="O619" s="23"/>
      <c r="P619" s="23"/>
      <c r="Q619" s="23"/>
      <c r="R619" s="9"/>
      <c r="S619" s="34"/>
      <c r="T619" s="34"/>
    </row>
    <row r="620">
      <c r="B620" s="33"/>
      <c r="J620" s="25"/>
      <c r="K620" s="25"/>
      <c r="L620" s="8"/>
      <c r="N620" s="23"/>
      <c r="O620" s="23"/>
      <c r="P620" s="23"/>
      <c r="Q620" s="23"/>
      <c r="R620" s="9"/>
      <c r="S620" s="34"/>
      <c r="T620" s="34"/>
    </row>
    <row r="621">
      <c r="B621" s="33"/>
      <c r="J621" s="25"/>
      <c r="K621" s="25"/>
      <c r="L621" s="8"/>
      <c r="N621" s="23"/>
      <c r="O621" s="23"/>
      <c r="P621" s="23"/>
      <c r="Q621" s="23"/>
      <c r="R621" s="9"/>
      <c r="S621" s="34"/>
      <c r="T621" s="34"/>
    </row>
    <row r="622">
      <c r="B622" s="33"/>
      <c r="J622" s="25"/>
      <c r="K622" s="25"/>
      <c r="L622" s="8"/>
      <c r="N622" s="23"/>
      <c r="O622" s="23"/>
      <c r="P622" s="23"/>
      <c r="Q622" s="23"/>
      <c r="R622" s="9"/>
      <c r="S622" s="34"/>
      <c r="T622" s="34"/>
    </row>
    <row r="623">
      <c r="B623" s="33"/>
      <c r="J623" s="25"/>
      <c r="K623" s="25"/>
      <c r="L623" s="8"/>
      <c r="N623" s="23"/>
      <c r="O623" s="23"/>
      <c r="P623" s="23"/>
      <c r="Q623" s="23"/>
      <c r="R623" s="9"/>
      <c r="S623" s="34"/>
      <c r="T623" s="34"/>
    </row>
    <row r="624">
      <c r="B624" s="33"/>
      <c r="J624" s="25"/>
      <c r="K624" s="25"/>
      <c r="L624" s="8"/>
      <c r="N624" s="23"/>
      <c r="O624" s="23"/>
      <c r="P624" s="23"/>
      <c r="Q624" s="23"/>
      <c r="R624" s="9"/>
      <c r="S624" s="34"/>
      <c r="T624" s="34"/>
    </row>
    <row r="625">
      <c r="B625" s="33"/>
      <c r="J625" s="25"/>
      <c r="K625" s="25"/>
      <c r="L625" s="8"/>
      <c r="N625" s="23"/>
      <c r="O625" s="23"/>
      <c r="P625" s="23"/>
      <c r="Q625" s="23"/>
      <c r="R625" s="9"/>
      <c r="S625" s="34"/>
      <c r="T625" s="34"/>
    </row>
    <row r="626">
      <c r="B626" s="33"/>
      <c r="J626" s="25"/>
      <c r="K626" s="25"/>
      <c r="L626" s="8"/>
      <c r="N626" s="23"/>
      <c r="O626" s="23"/>
      <c r="P626" s="23"/>
      <c r="Q626" s="23"/>
      <c r="R626" s="9"/>
      <c r="S626" s="34"/>
      <c r="T626" s="34"/>
    </row>
    <row r="627">
      <c r="B627" s="33"/>
      <c r="J627" s="25"/>
      <c r="K627" s="25"/>
      <c r="L627" s="8"/>
      <c r="N627" s="23"/>
      <c r="O627" s="23"/>
      <c r="P627" s="23"/>
      <c r="Q627" s="23"/>
      <c r="R627" s="9"/>
      <c r="S627" s="34"/>
      <c r="T627" s="34"/>
    </row>
    <row r="628">
      <c r="B628" s="33"/>
      <c r="J628" s="25"/>
      <c r="K628" s="25"/>
      <c r="L628" s="8"/>
      <c r="N628" s="23"/>
      <c r="O628" s="23"/>
      <c r="P628" s="23"/>
      <c r="Q628" s="23"/>
      <c r="R628" s="9"/>
      <c r="S628" s="34"/>
      <c r="T628" s="34"/>
    </row>
    <row r="629">
      <c r="B629" s="33"/>
      <c r="J629" s="25"/>
      <c r="K629" s="25"/>
      <c r="L629" s="8"/>
      <c r="N629" s="23"/>
      <c r="O629" s="23"/>
      <c r="P629" s="23"/>
      <c r="Q629" s="23"/>
      <c r="R629" s="9"/>
      <c r="S629" s="34"/>
      <c r="T629" s="34"/>
    </row>
    <row r="630">
      <c r="B630" s="33"/>
      <c r="J630" s="25"/>
      <c r="K630" s="25"/>
      <c r="L630" s="8"/>
      <c r="N630" s="23"/>
      <c r="O630" s="23"/>
      <c r="P630" s="23"/>
      <c r="Q630" s="23"/>
      <c r="R630" s="9"/>
      <c r="S630" s="34"/>
      <c r="T630" s="34"/>
    </row>
    <row r="631">
      <c r="B631" s="33"/>
      <c r="J631" s="25"/>
      <c r="K631" s="25"/>
      <c r="L631" s="8"/>
      <c r="N631" s="23"/>
      <c r="O631" s="23"/>
      <c r="P631" s="23"/>
      <c r="Q631" s="23"/>
      <c r="R631" s="9"/>
      <c r="S631" s="34"/>
      <c r="T631" s="34"/>
    </row>
    <row r="632">
      <c r="B632" s="33"/>
      <c r="J632" s="25"/>
      <c r="K632" s="25"/>
      <c r="L632" s="8"/>
      <c r="N632" s="23"/>
      <c r="O632" s="23"/>
      <c r="P632" s="23"/>
      <c r="Q632" s="23"/>
      <c r="R632" s="9"/>
      <c r="S632" s="34"/>
      <c r="T632" s="34"/>
    </row>
    <row r="633">
      <c r="B633" s="33"/>
      <c r="J633" s="25"/>
      <c r="K633" s="25"/>
      <c r="L633" s="8"/>
      <c r="N633" s="23"/>
      <c r="O633" s="23"/>
      <c r="P633" s="23"/>
      <c r="Q633" s="23"/>
      <c r="R633" s="9"/>
      <c r="S633" s="34"/>
      <c r="T633" s="34"/>
    </row>
    <row r="634">
      <c r="B634" s="33"/>
      <c r="J634" s="25"/>
      <c r="K634" s="25"/>
      <c r="L634" s="8"/>
      <c r="N634" s="23"/>
      <c r="O634" s="23"/>
      <c r="P634" s="23"/>
      <c r="Q634" s="23"/>
      <c r="R634" s="9"/>
      <c r="S634" s="34"/>
      <c r="T634" s="34"/>
    </row>
    <row r="635">
      <c r="B635" s="33"/>
      <c r="J635" s="25"/>
      <c r="K635" s="25"/>
      <c r="L635" s="8"/>
      <c r="N635" s="23"/>
      <c r="O635" s="23"/>
      <c r="P635" s="23"/>
      <c r="Q635" s="23"/>
      <c r="R635" s="9"/>
      <c r="S635" s="34"/>
      <c r="T635" s="34"/>
    </row>
    <row r="636">
      <c r="B636" s="33"/>
      <c r="J636" s="25"/>
      <c r="K636" s="25"/>
      <c r="L636" s="8"/>
      <c r="N636" s="23"/>
      <c r="O636" s="23"/>
      <c r="P636" s="23"/>
      <c r="Q636" s="23"/>
      <c r="R636" s="9"/>
      <c r="S636" s="34"/>
      <c r="T636" s="34"/>
    </row>
    <row r="637">
      <c r="B637" s="33"/>
      <c r="J637" s="25"/>
      <c r="K637" s="25"/>
      <c r="L637" s="8"/>
      <c r="N637" s="23"/>
      <c r="O637" s="23"/>
      <c r="P637" s="23"/>
      <c r="Q637" s="23"/>
      <c r="R637" s="9"/>
      <c r="S637" s="34"/>
      <c r="T637" s="34"/>
    </row>
    <row r="638">
      <c r="B638" s="33"/>
      <c r="J638" s="25"/>
      <c r="K638" s="25"/>
      <c r="L638" s="8"/>
      <c r="N638" s="23"/>
      <c r="O638" s="23"/>
      <c r="P638" s="23"/>
      <c r="Q638" s="23"/>
      <c r="R638" s="9"/>
      <c r="S638" s="34"/>
      <c r="T638" s="34"/>
    </row>
    <row r="639">
      <c r="B639" s="33"/>
      <c r="J639" s="25"/>
      <c r="K639" s="25"/>
      <c r="L639" s="8"/>
      <c r="N639" s="23"/>
      <c r="O639" s="23"/>
      <c r="P639" s="23"/>
      <c r="Q639" s="23"/>
      <c r="R639" s="9"/>
      <c r="S639" s="34"/>
      <c r="T639" s="34"/>
    </row>
    <row r="640">
      <c r="B640" s="33"/>
      <c r="J640" s="25"/>
      <c r="K640" s="25"/>
      <c r="L640" s="8"/>
      <c r="N640" s="23"/>
      <c r="O640" s="23"/>
      <c r="P640" s="23"/>
      <c r="Q640" s="23"/>
      <c r="R640" s="9"/>
      <c r="S640" s="34"/>
      <c r="T640" s="34"/>
    </row>
    <row r="641">
      <c r="B641" s="33"/>
      <c r="J641" s="25"/>
      <c r="K641" s="25"/>
      <c r="L641" s="8"/>
      <c r="N641" s="23"/>
      <c r="O641" s="23"/>
      <c r="P641" s="23"/>
      <c r="Q641" s="23"/>
      <c r="R641" s="9"/>
      <c r="S641" s="34"/>
      <c r="T641" s="34"/>
    </row>
    <row r="642">
      <c r="B642" s="33"/>
      <c r="J642" s="25"/>
      <c r="K642" s="25"/>
      <c r="L642" s="8"/>
      <c r="N642" s="23"/>
      <c r="O642" s="23"/>
      <c r="P642" s="23"/>
      <c r="Q642" s="23"/>
      <c r="R642" s="9"/>
      <c r="S642" s="34"/>
      <c r="T642" s="34"/>
    </row>
    <row r="643">
      <c r="B643" s="33"/>
      <c r="J643" s="25"/>
      <c r="K643" s="25"/>
      <c r="L643" s="8"/>
      <c r="N643" s="23"/>
      <c r="O643" s="23"/>
      <c r="P643" s="23"/>
      <c r="Q643" s="23"/>
      <c r="R643" s="9"/>
      <c r="S643" s="34"/>
      <c r="T643" s="34"/>
    </row>
    <row r="644">
      <c r="B644" s="33"/>
      <c r="J644" s="25"/>
      <c r="K644" s="25"/>
      <c r="L644" s="8"/>
      <c r="N644" s="23"/>
      <c r="O644" s="23"/>
      <c r="P644" s="23"/>
      <c r="Q644" s="23"/>
      <c r="R644" s="9"/>
      <c r="S644" s="34"/>
      <c r="T644" s="34"/>
    </row>
    <row r="645">
      <c r="B645" s="33"/>
      <c r="J645" s="25"/>
      <c r="K645" s="25"/>
      <c r="L645" s="8"/>
      <c r="N645" s="23"/>
      <c r="O645" s="23"/>
      <c r="P645" s="23"/>
      <c r="Q645" s="23"/>
      <c r="R645" s="9"/>
      <c r="S645" s="34"/>
      <c r="T645" s="34"/>
    </row>
    <row r="646">
      <c r="B646" s="33"/>
      <c r="J646" s="25"/>
      <c r="K646" s="25"/>
      <c r="L646" s="8"/>
      <c r="N646" s="23"/>
      <c r="O646" s="23"/>
      <c r="P646" s="23"/>
      <c r="Q646" s="23"/>
      <c r="R646" s="9"/>
      <c r="S646" s="34"/>
      <c r="T646" s="34"/>
    </row>
    <row r="647">
      <c r="B647" s="33"/>
      <c r="J647" s="25"/>
      <c r="K647" s="25"/>
      <c r="L647" s="8"/>
      <c r="N647" s="23"/>
      <c r="O647" s="23"/>
      <c r="P647" s="23"/>
      <c r="Q647" s="23"/>
      <c r="R647" s="9"/>
      <c r="S647" s="34"/>
      <c r="T647" s="34"/>
    </row>
    <row r="648">
      <c r="B648" s="33"/>
      <c r="J648" s="25"/>
      <c r="K648" s="25"/>
      <c r="L648" s="8"/>
      <c r="N648" s="23"/>
      <c r="O648" s="23"/>
      <c r="P648" s="23"/>
      <c r="Q648" s="23"/>
      <c r="R648" s="9"/>
      <c r="S648" s="34"/>
      <c r="T648" s="34"/>
    </row>
    <row r="649">
      <c r="B649" s="33"/>
      <c r="J649" s="25"/>
      <c r="K649" s="25"/>
      <c r="L649" s="8"/>
      <c r="N649" s="23"/>
      <c r="O649" s="23"/>
      <c r="P649" s="23"/>
      <c r="Q649" s="23"/>
      <c r="R649" s="9"/>
      <c r="S649" s="34"/>
      <c r="T649" s="34"/>
    </row>
    <row r="650">
      <c r="B650" s="33"/>
      <c r="J650" s="25"/>
      <c r="K650" s="25"/>
      <c r="L650" s="8"/>
      <c r="N650" s="23"/>
      <c r="O650" s="23"/>
      <c r="P650" s="23"/>
      <c r="Q650" s="23"/>
      <c r="R650" s="9"/>
      <c r="S650" s="34"/>
      <c r="T650" s="34"/>
    </row>
    <row r="651">
      <c r="B651" s="33"/>
      <c r="J651" s="25"/>
      <c r="K651" s="25"/>
      <c r="L651" s="8"/>
      <c r="N651" s="23"/>
      <c r="O651" s="23"/>
      <c r="P651" s="23"/>
      <c r="Q651" s="23"/>
      <c r="R651" s="9"/>
      <c r="S651" s="34"/>
      <c r="T651" s="34"/>
    </row>
    <row r="652">
      <c r="B652" s="33"/>
      <c r="J652" s="25"/>
      <c r="K652" s="25"/>
      <c r="L652" s="8"/>
      <c r="N652" s="23"/>
      <c r="O652" s="23"/>
      <c r="P652" s="23"/>
      <c r="Q652" s="23"/>
      <c r="R652" s="9"/>
      <c r="S652" s="34"/>
      <c r="T652" s="34"/>
    </row>
    <row r="653">
      <c r="B653" s="33"/>
      <c r="J653" s="25"/>
      <c r="K653" s="25"/>
      <c r="L653" s="8"/>
      <c r="N653" s="23"/>
      <c r="O653" s="23"/>
      <c r="P653" s="23"/>
      <c r="Q653" s="23"/>
      <c r="R653" s="9"/>
      <c r="S653" s="34"/>
      <c r="T653" s="34"/>
    </row>
    <row r="654">
      <c r="B654" s="33"/>
      <c r="J654" s="25"/>
      <c r="K654" s="25"/>
      <c r="L654" s="8"/>
      <c r="N654" s="23"/>
      <c r="O654" s="23"/>
      <c r="P654" s="23"/>
      <c r="Q654" s="23"/>
      <c r="R654" s="9"/>
      <c r="S654" s="34"/>
      <c r="T654" s="34"/>
    </row>
    <row r="655">
      <c r="B655" s="33"/>
      <c r="J655" s="25"/>
      <c r="K655" s="25"/>
      <c r="L655" s="8"/>
      <c r="N655" s="23"/>
      <c r="O655" s="23"/>
      <c r="P655" s="23"/>
      <c r="Q655" s="23"/>
      <c r="R655" s="9"/>
      <c r="S655" s="34"/>
      <c r="T655" s="34"/>
    </row>
    <row r="656">
      <c r="B656" s="33"/>
      <c r="J656" s="25"/>
      <c r="K656" s="25"/>
      <c r="L656" s="8"/>
      <c r="N656" s="23"/>
      <c r="O656" s="23"/>
      <c r="P656" s="23"/>
      <c r="Q656" s="23"/>
      <c r="R656" s="9"/>
      <c r="S656" s="34"/>
      <c r="T656" s="34"/>
    </row>
    <row r="657">
      <c r="B657" s="33"/>
      <c r="J657" s="25"/>
      <c r="K657" s="25"/>
      <c r="L657" s="8"/>
      <c r="N657" s="23"/>
      <c r="O657" s="23"/>
      <c r="P657" s="23"/>
      <c r="Q657" s="23"/>
      <c r="R657" s="9"/>
      <c r="S657" s="34"/>
      <c r="T657" s="34"/>
    </row>
    <row r="658">
      <c r="B658" s="33"/>
      <c r="J658" s="25"/>
      <c r="K658" s="25"/>
      <c r="L658" s="8"/>
      <c r="N658" s="23"/>
      <c r="O658" s="23"/>
      <c r="P658" s="23"/>
      <c r="Q658" s="23"/>
      <c r="R658" s="9"/>
      <c r="S658" s="34"/>
      <c r="T658" s="34"/>
    </row>
    <row r="659">
      <c r="B659" s="33"/>
      <c r="J659" s="25"/>
      <c r="K659" s="25"/>
      <c r="L659" s="8"/>
      <c r="N659" s="23"/>
      <c r="O659" s="23"/>
      <c r="P659" s="23"/>
      <c r="Q659" s="23"/>
      <c r="R659" s="9"/>
      <c r="S659" s="34"/>
      <c r="T659" s="34"/>
    </row>
    <row r="660">
      <c r="B660" s="33"/>
      <c r="J660" s="25"/>
      <c r="K660" s="25"/>
      <c r="L660" s="8"/>
      <c r="N660" s="23"/>
      <c r="O660" s="23"/>
      <c r="P660" s="23"/>
      <c r="Q660" s="23"/>
      <c r="R660" s="9"/>
      <c r="S660" s="34"/>
      <c r="T660" s="34"/>
    </row>
    <row r="661">
      <c r="B661" s="33"/>
      <c r="J661" s="25"/>
      <c r="K661" s="25"/>
      <c r="L661" s="8"/>
      <c r="N661" s="23"/>
      <c r="O661" s="23"/>
      <c r="P661" s="23"/>
      <c r="Q661" s="23"/>
      <c r="R661" s="9"/>
      <c r="S661" s="34"/>
      <c r="T661" s="34"/>
    </row>
    <row r="662">
      <c r="B662" s="33"/>
      <c r="J662" s="25"/>
      <c r="K662" s="25"/>
      <c r="L662" s="8"/>
      <c r="N662" s="23"/>
      <c r="O662" s="23"/>
      <c r="P662" s="23"/>
      <c r="Q662" s="23"/>
      <c r="R662" s="9"/>
      <c r="S662" s="34"/>
      <c r="T662" s="34"/>
    </row>
    <row r="663">
      <c r="B663" s="33"/>
      <c r="J663" s="25"/>
      <c r="K663" s="25"/>
      <c r="L663" s="8"/>
      <c r="N663" s="23"/>
      <c r="O663" s="23"/>
      <c r="P663" s="23"/>
      <c r="Q663" s="23"/>
      <c r="R663" s="9"/>
      <c r="S663" s="34"/>
      <c r="T663" s="34"/>
    </row>
    <row r="664">
      <c r="B664" s="33"/>
      <c r="J664" s="25"/>
      <c r="K664" s="25"/>
      <c r="L664" s="8"/>
      <c r="N664" s="23"/>
      <c r="O664" s="23"/>
      <c r="P664" s="23"/>
      <c r="Q664" s="23"/>
      <c r="R664" s="9"/>
      <c r="S664" s="34"/>
      <c r="T664" s="34"/>
    </row>
    <row r="665">
      <c r="B665" s="33"/>
      <c r="J665" s="25"/>
      <c r="K665" s="25"/>
      <c r="L665" s="8"/>
      <c r="N665" s="23"/>
      <c r="O665" s="23"/>
      <c r="P665" s="23"/>
      <c r="Q665" s="23"/>
      <c r="R665" s="9"/>
      <c r="S665" s="34"/>
      <c r="T665" s="34"/>
    </row>
    <row r="666">
      <c r="B666" s="33"/>
      <c r="J666" s="25"/>
      <c r="K666" s="25"/>
      <c r="L666" s="8"/>
      <c r="N666" s="23"/>
      <c r="O666" s="23"/>
      <c r="P666" s="23"/>
      <c r="Q666" s="23"/>
      <c r="R666" s="9"/>
      <c r="S666" s="34"/>
      <c r="T666" s="34"/>
    </row>
    <row r="667">
      <c r="B667" s="33"/>
      <c r="J667" s="25"/>
      <c r="K667" s="25"/>
      <c r="L667" s="8"/>
      <c r="N667" s="23"/>
      <c r="O667" s="23"/>
      <c r="P667" s="23"/>
      <c r="Q667" s="23"/>
      <c r="R667" s="9"/>
      <c r="S667" s="34"/>
      <c r="T667" s="34"/>
    </row>
    <row r="668">
      <c r="B668" s="33"/>
      <c r="J668" s="25"/>
      <c r="K668" s="25"/>
      <c r="L668" s="8"/>
      <c r="N668" s="23"/>
      <c r="O668" s="23"/>
      <c r="P668" s="23"/>
      <c r="Q668" s="23"/>
      <c r="R668" s="9"/>
      <c r="S668" s="34"/>
      <c r="T668" s="34"/>
    </row>
    <row r="669">
      <c r="B669" s="33"/>
      <c r="J669" s="25"/>
      <c r="K669" s="25"/>
      <c r="L669" s="8"/>
      <c r="N669" s="23"/>
      <c r="O669" s="23"/>
      <c r="P669" s="23"/>
      <c r="Q669" s="23"/>
      <c r="R669" s="9"/>
      <c r="S669" s="34"/>
      <c r="T669" s="34"/>
    </row>
    <row r="670">
      <c r="B670" s="33"/>
      <c r="J670" s="25"/>
      <c r="K670" s="25"/>
      <c r="L670" s="8"/>
      <c r="N670" s="23"/>
      <c r="O670" s="23"/>
      <c r="P670" s="23"/>
      <c r="Q670" s="23"/>
      <c r="R670" s="9"/>
      <c r="S670" s="34"/>
      <c r="T670" s="34"/>
    </row>
    <row r="671">
      <c r="B671" s="33"/>
      <c r="J671" s="25"/>
      <c r="K671" s="25"/>
      <c r="L671" s="8"/>
      <c r="N671" s="23"/>
      <c r="O671" s="23"/>
      <c r="P671" s="23"/>
      <c r="Q671" s="23"/>
      <c r="R671" s="9"/>
      <c r="S671" s="34"/>
      <c r="T671" s="34"/>
    </row>
    <row r="672">
      <c r="B672" s="33"/>
      <c r="J672" s="25"/>
      <c r="K672" s="25"/>
      <c r="L672" s="8"/>
      <c r="N672" s="23"/>
      <c r="O672" s="23"/>
      <c r="P672" s="23"/>
      <c r="Q672" s="23"/>
      <c r="R672" s="9"/>
      <c r="S672" s="34"/>
      <c r="T672" s="34"/>
    </row>
    <row r="673">
      <c r="B673" s="33"/>
      <c r="J673" s="25"/>
      <c r="K673" s="25"/>
      <c r="L673" s="8"/>
      <c r="N673" s="23"/>
      <c r="O673" s="23"/>
      <c r="P673" s="23"/>
      <c r="Q673" s="23"/>
      <c r="R673" s="9"/>
      <c r="S673" s="34"/>
      <c r="T673" s="34"/>
    </row>
    <row r="674">
      <c r="B674" s="33"/>
      <c r="J674" s="25"/>
      <c r="K674" s="25"/>
      <c r="L674" s="8"/>
      <c r="N674" s="23"/>
      <c r="O674" s="23"/>
      <c r="P674" s="23"/>
      <c r="Q674" s="23"/>
      <c r="R674" s="9"/>
      <c r="S674" s="34"/>
      <c r="T674" s="34"/>
    </row>
    <row r="675">
      <c r="B675" s="33"/>
      <c r="J675" s="25"/>
      <c r="K675" s="25"/>
      <c r="L675" s="8"/>
      <c r="N675" s="23"/>
      <c r="O675" s="23"/>
      <c r="P675" s="23"/>
      <c r="Q675" s="23"/>
      <c r="R675" s="9"/>
      <c r="S675" s="34"/>
      <c r="T675" s="34"/>
    </row>
    <row r="676">
      <c r="B676" s="33"/>
      <c r="J676" s="25"/>
      <c r="K676" s="25"/>
      <c r="L676" s="8"/>
      <c r="N676" s="23"/>
      <c r="O676" s="23"/>
      <c r="P676" s="23"/>
      <c r="Q676" s="23"/>
      <c r="R676" s="9"/>
      <c r="S676" s="34"/>
      <c r="T676" s="34"/>
    </row>
    <row r="677">
      <c r="B677" s="33"/>
      <c r="J677" s="25"/>
      <c r="K677" s="25"/>
      <c r="L677" s="8"/>
      <c r="N677" s="23"/>
      <c r="O677" s="23"/>
      <c r="P677" s="23"/>
      <c r="Q677" s="23"/>
      <c r="R677" s="9"/>
      <c r="S677" s="34"/>
      <c r="T677" s="34"/>
    </row>
    <row r="678">
      <c r="B678" s="33"/>
      <c r="J678" s="25"/>
      <c r="K678" s="25"/>
      <c r="L678" s="8"/>
      <c r="N678" s="23"/>
      <c r="O678" s="23"/>
      <c r="P678" s="23"/>
      <c r="Q678" s="23"/>
      <c r="R678" s="9"/>
      <c r="S678" s="34"/>
      <c r="T678" s="34"/>
    </row>
    <row r="679">
      <c r="B679" s="33"/>
      <c r="J679" s="25"/>
      <c r="K679" s="25"/>
      <c r="L679" s="8"/>
      <c r="N679" s="23"/>
      <c r="O679" s="23"/>
      <c r="P679" s="23"/>
      <c r="Q679" s="23"/>
      <c r="R679" s="9"/>
      <c r="S679" s="34"/>
      <c r="T679" s="34"/>
    </row>
    <row r="680">
      <c r="B680" s="33"/>
      <c r="J680" s="25"/>
      <c r="K680" s="25"/>
      <c r="L680" s="8"/>
      <c r="N680" s="23"/>
      <c r="O680" s="23"/>
      <c r="P680" s="23"/>
      <c r="Q680" s="23"/>
      <c r="R680" s="9"/>
      <c r="S680" s="34"/>
      <c r="T680" s="34"/>
    </row>
    <row r="681">
      <c r="B681" s="33"/>
      <c r="J681" s="25"/>
      <c r="K681" s="25"/>
      <c r="L681" s="8"/>
      <c r="N681" s="23"/>
      <c r="O681" s="23"/>
      <c r="P681" s="23"/>
      <c r="Q681" s="23"/>
      <c r="R681" s="9"/>
      <c r="S681" s="34"/>
      <c r="T681" s="34"/>
    </row>
    <row r="682">
      <c r="B682" s="33"/>
      <c r="J682" s="25"/>
      <c r="K682" s="25"/>
      <c r="L682" s="8"/>
      <c r="N682" s="23"/>
      <c r="O682" s="23"/>
      <c r="P682" s="23"/>
      <c r="Q682" s="23"/>
      <c r="R682" s="9"/>
      <c r="S682" s="34"/>
      <c r="T682" s="34"/>
    </row>
    <row r="683">
      <c r="B683" s="33"/>
      <c r="J683" s="25"/>
      <c r="K683" s="25"/>
      <c r="L683" s="8"/>
      <c r="N683" s="23"/>
      <c r="O683" s="23"/>
      <c r="P683" s="23"/>
      <c r="Q683" s="23"/>
      <c r="R683" s="9"/>
      <c r="S683" s="34"/>
      <c r="T683" s="34"/>
    </row>
    <row r="684">
      <c r="B684" s="33"/>
      <c r="J684" s="25"/>
      <c r="K684" s="25"/>
      <c r="L684" s="8"/>
      <c r="N684" s="23"/>
      <c r="O684" s="23"/>
      <c r="P684" s="23"/>
      <c r="Q684" s="23"/>
      <c r="R684" s="9"/>
      <c r="S684" s="34"/>
      <c r="T684" s="34"/>
    </row>
    <row r="685">
      <c r="B685" s="33"/>
      <c r="J685" s="25"/>
      <c r="K685" s="25"/>
      <c r="L685" s="8"/>
      <c r="N685" s="23"/>
      <c r="O685" s="23"/>
      <c r="P685" s="23"/>
      <c r="Q685" s="23"/>
      <c r="R685" s="9"/>
      <c r="S685" s="34"/>
      <c r="T685" s="34"/>
    </row>
    <row r="686">
      <c r="B686" s="33"/>
      <c r="J686" s="25"/>
      <c r="K686" s="25"/>
      <c r="L686" s="8"/>
      <c r="N686" s="23"/>
      <c r="O686" s="23"/>
      <c r="P686" s="23"/>
      <c r="Q686" s="23"/>
      <c r="R686" s="9"/>
      <c r="S686" s="34"/>
      <c r="T686" s="34"/>
    </row>
    <row r="687">
      <c r="B687" s="33"/>
      <c r="J687" s="25"/>
      <c r="K687" s="25"/>
      <c r="L687" s="8"/>
      <c r="N687" s="23"/>
      <c r="O687" s="23"/>
      <c r="P687" s="23"/>
      <c r="Q687" s="23"/>
      <c r="R687" s="9"/>
      <c r="S687" s="34"/>
      <c r="T687" s="34"/>
    </row>
    <row r="688">
      <c r="B688" s="33"/>
      <c r="J688" s="25"/>
      <c r="K688" s="25"/>
      <c r="L688" s="8"/>
      <c r="N688" s="23"/>
      <c r="O688" s="23"/>
      <c r="P688" s="23"/>
      <c r="Q688" s="23"/>
      <c r="R688" s="9"/>
      <c r="S688" s="34"/>
      <c r="T688" s="34"/>
    </row>
    <row r="689">
      <c r="B689" s="33"/>
      <c r="J689" s="25"/>
      <c r="K689" s="25"/>
      <c r="L689" s="8"/>
      <c r="N689" s="23"/>
      <c r="O689" s="23"/>
      <c r="P689" s="23"/>
      <c r="Q689" s="23"/>
      <c r="R689" s="9"/>
      <c r="S689" s="34"/>
      <c r="T689" s="34"/>
    </row>
    <row r="690">
      <c r="B690" s="33"/>
      <c r="J690" s="25"/>
      <c r="K690" s="25"/>
      <c r="L690" s="8"/>
      <c r="N690" s="23"/>
      <c r="O690" s="23"/>
      <c r="P690" s="23"/>
      <c r="Q690" s="23"/>
      <c r="R690" s="9"/>
      <c r="S690" s="34"/>
      <c r="T690" s="34"/>
    </row>
    <row r="691">
      <c r="B691" s="33"/>
      <c r="J691" s="25"/>
      <c r="K691" s="25"/>
      <c r="L691" s="8"/>
      <c r="N691" s="23"/>
      <c r="O691" s="23"/>
      <c r="P691" s="23"/>
      <c r="Q691" s="23"/>
      <c r="R691" s="9"/>
      <c r="S691" s="34"/>
      <c r="T691" s="34"/>
    </row>
    <row r="692">
      <c r="B692" s="33"/>
      <c r="J692" s="25"/>
      <c r="K692" s="25"/>
      <c r="L692" s="8"/>
      <c r="N692" s="23"/>
      <c r="O692" s="23"/>
      <c r="P692" s="23"/>
      <c r="Q692" s="23"/>
      <c r="R692" s="9"/>
      <c r="S692" s="34"/>
      <c r="T692" s="34"/>
    </row>
    <row r="693">
      <c r="B693" s="33"/>
      <c r="J693" s="25"/>
      <c r="K693" s="25"/>
      <c r="L693" s="8"/>
      <c r="N693" s="23"/>
      <c r="O693" s="23"/>
      <c r="P693" s="23"/>
      <c r="Q693" s="23"/>
      <c r="R693" s="9"/>
      <c r="S693" s="34"/>
      <c r="T693" s="34"/>
    </row>
    <row r="694">
      <c r="B694" s="33"/>
      <c r="J694" s="25"/>
      <c r="K694" s="25"/>
      <c r="L694" s="8"/>
      <c r="N694" s="23"/>
      <c r="O694" s="23"/>
      <c r="P694" s="23"/>
      <c r="Q694" s="23"/>
      <c r="R694" s="9"/>
      <c r="S694" s="34"/>
      <c r="T694" s="34"/>
    </row>
    <row r="695">
      <c r="B695" s="33"/>
      <c r="J695" s="25"/>
      <c r="K695" s="25"/>
      <c r="L695" s="8"/>
      <c r="N695" s="23"/>
      <c r="O695" s="23"/>
      <c r="P695" s="23"/>
      <c r="Q695" s="23"/>
      <c r="R695" s="9"/>
      <c r="S695" s="34"/>
      <c r="T695" s="34"/>
    </row>
    <row r="696">
      <c r="B696" s="33"/>
      <c r="J696" s="25"/>
      <c r="K696" s="25"/>
      <c r="L696" s="8"/>
      <c r="N696" s="23"/>
      <c r="O696" s="23"/>
      <c r="P696" s="23"/>
      <c r="Q696" s="23"/>
      <c r="R696" s="9"/>
      <c r="S696" s="34"/>
      <c r="T696" s="34"/>
    </row>
    <row r="697">
      <c r="B697" s="33"/>
      <c r="J697" s="25"/>
      <c r="K697" s="25"/>
      <c r="L697" s="8"/>
      <c r="N697" s="23"/>
      <c r="O697" s="23"/>
      <c r="P697" s="23"/>
      <c r="Q697" s="23"/>
      <c r="R697" s="9"/>
      <c r="S697" s="34"/>
      <c r="T697" s="34"/>
    </row>
    <row r="698">
      <c r="B698" s="33"/>
      <c r="J698" s="25"/>
      <c r="K698" s="25"/>
      <c r="L698" s="8"/>
      <c r="N698" s="23"/>
      <c r="O698" s="23"/>
      <c r="P698" s="23"/>
      <c r="Q698" s="23"/>
      <c r="R698" s="9"/>
      <c r="S698" s="34"/>
      <c r="T698" s="34"/>
    </row>
    <row r="699">
      <c r="B699" s="33"/>
      <c r="J699" s="25"/>
      <c r="K699" s="25"/>
      <c r="L699" s="8"/>
      <c r="N699" s="23"/>
      <c r="O699" s="23"/>
      <c r="P699" s="23"/>
      <c r="Q699" s="23"/>
      <c r="R699" s="9"/>
      <c r="S699" s="34"/>
      <c r="T699" s="34"/>
    </row>
    <row r="700">
      <c r="B700" s="33"/>
      <c r="J700" s="25"/>
      <c r="K700" s="25"/>
      <c r="L700" s="8"/>
      <c r="N700" s="23"/>
      <c r="O700" s="23"/>
      <c r="P700" s="23"/>
      <c r="Q700" s="23"/>
      <c r="R700" s="9"/>
      <c r="S700" s="34"/>
      <c r="T700" s="34"/>
    </row>
    <row r="701">
      <c r="B701" s="33"/>
      <c r="J701" s="25"/>
      <c r="K701" s="25"/>
      <c r="L701" s="8"/>
      <c r="N701" s="23"/>
      <c r="O701" s="23"/>
      <c r="P701" s="23"/>
      <c r="Q701" s="23"/>
      <c r="R701" s="9"/>
      <c r="S701" s="34"/>
      <c r="T701" s="34"/>
    </row>
    <row r="702">
      <c r="B702" s="33"/>
      <c r="J702" s="25"/>
      <c r="K702" s="25"/>
      <c r="L702" s="8"/>
      <c r="N702" s="23"/>
      <c r="O702" s="23"/>
      <c r="P702" s="23"/>
      <c r="Q702" s="23"/>
      <c r="R702" s="9"/>
      <c r="S702" s="34"/>
      <c r="T702" s="34"/>
    </row>
    <row r="703">
      <c r="B703" s="33"/>
      <c r="J703" s="25"/>
      <c r="K703" s="25"/>
      <c r="L703" s="8"/>
      <c r="N703" s="23"/>
      <c r="O703" s="23"/>
      <c r="P703" s="23"/>
      <c r="Q703" s="23"/>
      <c r="R703" s="9"/>
      <c r="S703" s="34"/>
      <c r="T703" s="34"/>
    </row>
    <row r="704">
      <c r="B704" s="33"/>
      <c r="J704" s="25"/>
      <c r="K704" s="25"/>
      <c r="L704" s="8"/>
      <c r="N704" s="23"/>
      <c r="O704" s="23"/>
      <c r="P704" s="23"/>
      <c r="Q704" s="23"/>
      <c r="R704" s="9"/>
      <c r="S704" s="34"/>
      <c r="T704" s="34"/>
    </row>
    <row r="705">
      <c r="B705" s="33"/>
      <c r="J705" s="25"/>
      <c r="K705" s="25"/>
      <c r="L705" s="8"/>
      <c r="N705" s="23"/>
      <c r="O705" s="23"/>
      <c r="P705" s="23"/>
      <c r="Q705" s="23"/>
      <c r="R705" s="9"/>
      <c r="S705" s="34"/>
      <c r="T705" s="34"/>
    </row>
    <row r="706">
      <c r="B706" s="33"/>
      <c r="J706" s="25"/>
      <c r="K706" s="25"/>
      <c r="L706" s="8"/>
      <c r="N706" s="23"/>
      <c r="O706" s="23"/>
      <c r="P706" s="23"/>
      <c r="Q706" s="23"/>
      <c r="R706" s="9"/>
      <c r="S706" s="34"/>
      <c r="T706" s="34"/>
    </row>
    <row r="707">
      <c r="B707" s="33"/>
      <c r="J707" s="25"/>
      <c r="K707" s="25"/>
      <c r="L707" s="8"/>
      <c r="N707" s="23"/>
      <c r="O707" s="23"/>
      <c r="P707" s="23"/>
      <c r="Q707" s="23"/>
      <c r="R707" s="9"/>
      <c r="S707" s="34"/>
      <c r="T707" s="34"/>
    </row>
    <row r="708">
      <c r="B708" s="33"/>
      <c r="J708" s="25"/>
      <c r="K708" s="25"/>
      <c r="L708" s="8"/>
      <c r="N708" s="23"/>
      <c r="O708" s="23"/>
      <c r="P708" s="23"/>
      <c r="Q708" s="23"/>
      <c r="R708" s="9"/>
      <c r="S708" s="34"/>
      <c r="T708" s="34"/>
    </row>
    <row r="709">
      <c r="B709" s="33"/>
      <c r="J709" s="25"/>
      <c r="K709" s="25"/>
      <c r="L709" s="8"/>
      <c r="N709" s="23"/>
      <c r="O709" s="23"/>
      <c r="P709" s="23"/>
      <c r="Q709" s="23"/>
      <c r="R709" s="9"/>
      <c r="S709" s="34"/>
      <c r="T709" s="34"/>
    </row>
    <row r="710">
      <c r="B710" s="33"/>
      <c r="J710" s="25"/>
      <c r="K710" s="25"/>
      <c r="L710" s="8"/>
      <c r="N710" s="23"/>
      <c r="O710" s="23"/>
      <c r="P710" s="23"/>
      <c r="Q710" s="23"/>
      <c r="R710" s="9"/>
      <c r="S710" s="34"/>
      <c r="T710" s="34"/>
    </row>
    <row r="711">
      <c r="B711" s="33"/>
      <c r="J711" s="25"/>
      <c r="K711" s="25"/>
      <c r="L711" s="8"/>
      <c r="N711" s="23"/>
      <c r="O711" s="23"/>
      <c r="P711" s="23"/>
      <c r="Q711" s="23"/>
      <c r="R711" s="9"/>
      <c r="S711" s="34"/>
      <c r="T711" s="34"/>
    </row>
    <row r="712">
      <c r="B712" s="33"/>
      <c r="J712" s="25"/>
      <c r="K712" s="25"/>
      <c r="L712" s="8"/>
      <c r="N712" s="23"/>
      <c r="O712" s="23"/>
      <c r="P712" s="23"/>
      <c r="Q712" s="23"/>
      <c r="R712" s="9"/>
      <c r="S712" s="34"/>
      <c r="T712" s="34"/>
    </row>
    <row r="713">
      <c r="B713" s="33"/>
      <c r="J713" s="25"/>
      <c r="K713" s="25"/>
      <c r="L713" s="8"/>
      <c r="N713" s="23"/>
      <c r="O713" s="23"/>
      <c r="P713" s="23"/>
      <c r="Q713" s="23"/>
      <c r="R713" s="9"/>
      <c r="S713" s="34"/>
      <c r="T713" s="34"/>
    </row>
    <row r="714">
      <c r="B714" s="33"/>
      <c r="J714" s="25"/>
      <c r="K714" s="25"/>
      <c r="L714" s="8"/>
      <c r="N714" s="23"/>
      <c r="O714" s="23"/>
      <c r="P714" s="23"/>
      <c r="Q714" s="23"/>
      <c r="R714" s="9"/>
      <c r="S714" s="34"/>
      <c r="T714" s="34"/>
    </row>
    <row r="715">
      <c r="B715" s="33"/>
      <c r="J715" s="25"/>
      <c r="K715" s="25"/>
      <c r="L715" s="8"/>
      <c r="N715" s="23"/>
      <c r="O715" s="23"/>
      <c r="P715" s="23"/>
      <c r="Q715" s="23"/>
      <c r="R715" s="9"/>
      <c r="S715" s="34"/>
      <c r="T715" s="34"/>
    </row>
    <row r="716">
      <c r="B716" s="33"/>
      <c r="J716" s="25"/>
      <c r="K716" s="25"/>
      <c r="L716" s="8"/>
      <c r="N716" s="23"/>
      <c r="O716" s="23"/>
      <c r="P716" s="23"/>
      <c r="Q716" s="23"/>
      <c r="R716" s="9"/>
      <c r="S716" s="34"/>
      <c r="T716" s="34"/>
    </row>
    <row r="717">
      <c r="B717" s="33"/>
      <c r="J717" s="25"/>
      <c r="K717" s="25"/>
      <c r="L717" s="8"/>
      <c r="N717" s="23"/>
      <c r="O717" s="23"/>
      <c r="P717" s="23"/>
      <c r="Q717" s="23"/>
      <c r="R717" s="9"/>
      <c r="S717" s="34"/>
      <c r="T717" s="34"/>
    </row>
    <row r="718">
      <c r="B718" s="33"/>
      <c r="J718" s="25"/>
      <c r="K718" s="25"/>
      <c r="L718" s="8"/>
      <c r="N718" s="23"/>
      <c r="O718" s="23"/>
      <c r="P718" s="23"/>
      <c r="Q718" s="23"/>
      <c r="R718" s="9"/>
      <c r="S718" s="34"/>
      <c r="T718" s="34"/>
    </row>
    <row r="719">
      <c r="B719" s="33"/>
      <c r="J719" s="25"/>
      <c r="K719" s="25"/>
      <c r="L719" s="8"/>
      <c r="N719" s="23"/>
      <c r="O719" s="23"/>
      <c r="P719" s="23"/>
      <c r="Q719" s="23"/>
      <c r="R719" s="9"/>
      <c r="S719" s="34"/>
      <c r="T719" s="34"/>
    </row>
    <row r="720">
      <c r="B720" s="33"/>
      <c r="J720" s="25"/>
      <c r="K720" s="25"/>
      <c r="L720" s="8"/>
      <c r="N720" s="23"/>
      <c r="O720" s="23"/>
      <c r="P720" s="23"/>
      <c r="Q720" s="23"/>
      <c r="R720" s="9"/>
      <c r="S720" s="34"/>
      <c r="T720" s="34"/>
    </row>
    <row r="721">
      <c r="B721" s="33"/>
      <c r="J721" s="25"/>
      <c r="K721" s="25"/>
      <c r="L721" s="8"/>
      <c r="N721" s="23"/>
      <c r="O721" s="23"/>
      <c r="P721" s="23"/>
      <c r="Q721" s="23"/>
      <c r="R721" s="9"/>
      <c r="S721" s="34"/>
      <c r="T721" s="34"/>
    </row>
    <row r="722">
      <c r="B722" s="33"/>
      <c r="J722" s="25"/>
      <c r="K722" s="25"/>
      <c r="L722" s="8"/>
      <c r="N722" s="23"/>
      <c r="O722" s="23"/>
      <c r="P722" s="23"/>
      <c r="Q722" s="23"/>
      <c r="R722" s="9"/>
      <c r="S722" s="34"/>
      <c r="T722" s="34"/>
    </row>
    <row r="723">
      <c r="B723" s="33"/>
      <c r="J723" s="25"/>
      <c r="K723" s="25"/>
      <c r="L723" s="8"/>
      <c r="N723" s="23"/>
      <c r="O723" s="23"/>
      <c r="P723" s="23"/>
      <c r="Q723" s="23"/>
      <c r="R723" s="9"/>
      <c r="S723" s="34"/>
      <c r="T723" s="34"/>
    </row>
    <row r="724">
      <c r="B724" s="33"/>
      <c r="J724" s="25"/>
      <c r="K724" s="25"/>
      <c r="L724" s="8"/>
      <c r="N724" s="23"/>
      <c r="O724" s="23"/>
      <c r="P724" s="23"/>
      <c r="Q724" s="23"/>
      <c r="R724" s="9"/>
      <c r="S724" s="34"/>
      <c r="T724" s="34"/>
    </row>
    <row r="725">
      <c r="B725" s="33"/>
      <c r="J725" s="25"/>
      <c r="K725" s="25"/>
      <c r="L725" s="8"/>
      <c r="N725" s="23"/>
      <c r="O725" s="23"/>
      <c r="P725" s="23"/>
      <c r="Q725" s="23"/>
      <c r="R725" s="9"/>
      <c r="S725" s="34"/>
      <c r="T725" s="34"/>
    </row>
    <row r="726">
      <c r="B726" s="33"/>
      <c r="J726" s="25"/>
      <c r="K726" s="25"/>
      <c r="L726" s="8"/>
      <c r="N726" s="23"/>
      <c r="O726" s="23"/>
      <c r="P726" s="23"/>
      <c r="Q726" s="23"/>
      <c r="R726" s="9"/>
      <c r="S726" s="34"/>
      <c r="T726" s="34"/>
    </row>
    <row r="727">
      <c r="B727" s="33"/>
      <c r="J727" s="25"/>
      <c r="K727" s="25"/>
      <c r="L727" s="8"/>
      <c r="N727" s="23"/>
      <c r="O727" s="23"/>
      <c r="P727" s="23"/>
      <c r="Q727" s="23"/>
      <c r="R727" s="9"/>
      <c r="S727" s="34"/>
      <c r="T727" s="34"/>
    </row>
    <row r="728">
      <c r="B728" s="33"/>
      <c r="J728" s="25"/>
      <c r="K728" s="25"/>
      <c r="L728" s="8"/>
      <c r="N728" s="23"/>
      <c r="O728" s="23"/>
      <c r="P728" s="23"/>
      <c r="Q728" s="23"/>
      <c r="R728" s="9"/>
      <c r="S728" s="34"/>
      <c r="T728" s="34"/>
    </row>
    <row r="729">
      <c r="B729" s="33"/>
      <c r="J729" s="25"/>
      <c r="K729" s="25"/>
      <c r="L729" s="8"/>
      <c r="N729" s="23"/>
      <c r="O729" s="23"/>
      <c r="P729" s="23"/>
      <c r="Q729" s="23"/>
      <c r="R729" s="9"/>
      <c r="S729" s="34"/>
      <c r="T729" s="34"/>
    </row>
    <row r="730">
      <c r="B730" s="33"/>
      <c r="J730" s="25"/>
      <c r="K730" s="25"/>
      <c r="L730" s="8"/>
      <c r="N730" s="23"/>
      <c r="O730" s="23"/>
      <c r="P730" s="23"/>
      <c r="Q730" s="23"/>
      <c r="R730" s="9"/>
      <c r="S730" s="34"/>
      <c r="T730" s="34"/>
    </row>
    <row r="731">
      <c r="B731" s="33"/>
      <c r="J731" s="25"/>
      <c r="K731" s="25"/>
      <c r="L731" s="8"/>
      <c r="N731" s="23"/>
      <c r="O731" s="23"/>
      <c r="P731" s="23"/>
      <c r="Q731" s="23"/>
      <c r="R731" s="9"/>
      <c r="S731" s="34"/>
      <c r="T731" s="34"/>
    </row>
    <row r="732">
      <c r="B732" s="33"/>
      <c r="J732" s="25"/>
      <c r="K732" s="25"/>
      <c r="L732" s="8"/>
      <c r="N732" s="23"/>
      <c r="O732" s="23"/>
      <c r="P732" s="23"/>
      <c r="Q732" s="23"/>
      <c r="R732" s="9"/>
      <c r="S732" s="34"/>
      <c r="T732" s="34"/>
    </row>
    <row r="733">
      <c r="B733" s="33"/>
      <c r="J733" s="25"/>
      <c r="K733" s="25"/>
      <c r="L733" s="8"/>
      <c r="N733" s="23"/>
      <c r="O733" s="23"/>
      <c r="P733" s="23"/>
      <c r="Q733" s="23"/>
      <c r="R733" s="9"/>
      <c r="S733" s="34"/>
      <c r="T733" s="34"/>
    </row>
    <row r="734">
      <c r="B734" s="33"/>
      <c r="J734" s="25"/>
      <c r="K734" s="25"/>
      <c r="L734" s="8"/>
      <c r="N734" s="23"/>
      <c r="O734" s="23"/>
      <c r="P734" s="23"/>
      <c r="Q734" s="23"/>
      <c r="R734" s="9"/>
      <c r="S734" s="34"/>
      <c r="T734" s="34"/>
    </row>
    <row r="735">
      <c r="B735" s="33"/>
      <c r="J735" s="25"/>
      <c r="K735" s="25"/>
      <c r="L735" s="8"/>
      <c r="N735" s="23"/>
      <c r="O735" s="23"/>
      <c r="P735" s="23"/>
      <c r="Q735" s="23"/>
      <c r="R735" s="9"/>
      <c r="S735" s="34"/>
      <c r="T735" s="34"/>
    </row>
    <row r="736">
      <c r="B736" s="33"/>
      <c r="J736" s="25"/>
      <c r="K736" s="25"/>
      <c r="L736" s="8"/>
      <c r="N736" s="23"/>
      <c r="O736" s="23"/>
      <c r="P736" s="23"/>
      <c r="Q736" s="23"/>
      <c r="R736" s="9"/>
      <c r="S736" s="34"/>
      <c r="T736" s="34"/>
    </row>
    <row r="737">
      <c r="B737" s="33"/>
      <c r="J737" s="25"/>
      <c r="K737" s="25"/>
      <c r="L737" s="8"/>
      <c r="N737" s="23"/>
      <c r="O737" s="23"/>
      <c r="P737" s="23"/>
      <c r="Q737" s="23"/>
      <c r="R737" s="9"/>
      <c r="S737" s="34"/>
      <c r="T737" s="34"/>
    </row>
    <row r="738">
      <c r="B738" s="33"/>
      <c r="J738" s="25"/>
      <c r="K738" s="25"/>
      <c r="L738" s="8"/>
      <c r="N738" s="23"/>
      <c r="O738" s="23"/>
      <c r="P738" s="23"/>
      <c r="Q738" s="23"/>
      <c r="R738" s="9"/>
      <c r="S738" s="34"/>
      <c r="T738" s="34"/>
    </row>
    <row r="739">
      <c r="B739" s="33"/>
      <c r="J739" s="25"/>
      <c r="K739" s="25"/>
      <c r="L739" s="8"/>
      <c r="N739" s="23"/>
      <c r="O739" s="23"/>
      <c r="P739" s="23"/>
      <c r="Q739" s="23"/>
      <c r="R739" s="9"/>
      <c r="S739" s="34"/>
      <c r="T739" s="34"/>
    </row>
    <row r="740">
      <c r="B740" s="33"/>
      <c r="J740" s="25"/>
      <c r="K740" s="25"/>
      <c r="L740" s="8"/>
      <c r="N740" s="23"/>
      <c r="O740" s="23"/>
      <c r="P740" s="23"/>
      <c r="Q740" s="23"/>
      <c r="R740" s="9"/>
      <c r="S740" s="34"/>
      <c r="T740" s="34"/>
    </row>
    <row r="741">
      <c r="B741" s="33"/>
      <c r="J741" s="25"/>
      <c r="K741" s="25"/>
      <c r="L741" s="8"/>
      <c r="N741" s="23"/>
      <c r="O741" s="23"/>
      <c r="P741" s="23"/>
      <c r="Q741" s="23"/>
      <c r="R741" s="9"/>
      <c r="S741" s="34"/>
      <c r="T741" s="34"/>
    </row>
    <row r="742">
      <c r="B742" s="33"/>
      <c r="J742" s="25"/>
      <c r="K742" s="25"/>
      <c r="L742" s="8"/>
      <c r="N742" s="23"/>
      <c r="O742" s="23"/>
      <c r="P742" s="23"/>
      <c r="Q742" s="23"/>
      <c r="R742" s="9"/>
      <c r="S742" s="34"/>
      <c r="T742" s="34"/>
    </row>
    <row r="743">
      <c r="B743" s="33"/>
      <c r="J743" s="25"/>
      <c r="K743" s="25"/>
      <c r="L743" s="8"/>
      <c r="N743" s="23"/>
      <c r="O743" s="23"/>
      <c r="P743" s="23"/>
      <c r="Q743" s="23"/>
      <c r="R743" s="9"/>
      <c r="S743" s="34"/>
      <c r="T743" s="34"/>
    </row>
    <row r="744">
      <c r="B744" s="33"/>
      <c r="J744" s="25"/>
      <c r="K744" s="25"/>
      <c r="L744" s="8"/>
      <c r="N744" s="23"/>
      <c r="O744" s="23"/>
      <c r="P744" s="23"/>
      <c r="Q744" s="23"/>
      <c r="R744" s="9"/>
      <c r="S744" s="34"/>
      <c r="T744" s="34"/>
    </row>
    <row r="745">
      <c r="B745" s="33"/>
      <c r="J745" s="25"/>
      <c r="K745" s="25"/>
      <c r="L745" s="8"/>
      <c r="N745" s="23"/>
      <c r="O745" s="23"/>
      <c r="P745" s="23"/>
      <c r="Q745" s="23"/>
      <c r="R745" s="9"/>
      <c r="S745" s="34"/>
      <c r="T745" s="34"/>
    </row>
    <row r="746">
      <c r="B746" s="33"/>
      <c r="J746" s="25"/>
      <c r="K746" s="25"/>
      <c r="L746" s="8"/>
      <c r="N746" s="23"/>
      <c r="O746" s="23"/>
      <c r="P746" s="23"/>
      <c r="Q746" s="23"/>
      <c r="R746" s="9"/>
      <c r="S746" s="34"/>
      <c r="T746" s="34"/>
    </row>
    <row r="747">
      <c r="B747" s="33"/>
      <c r="J747" s="25"/>
      <c r="K747" s="25"/>
      <c r="L747" s="8"/>
      <c r="N747" s="23"/>
      <c r="O747" s="23"/>
      <c r="P747" s="23"/>
      <c r="Q747" s="23"/>
      <c r="R747" s="9"/>
      <c r="S747" s="34"/>
      <c r="T747" s="34"/>
    </row>
    <row r="748">
      <c r="B748" s="33"/>
      <c r="J748" s="25"/>
      <c r="K748" s="25"/>
      <c r="L748" s="8"/>
      <c r="N748" s="23"/>
      <c r="O748" s="23"/>
      <c r="P748" s="23"/>
      <c r="Q748" s="23"/>
      <c r="R748" s="9"/>
      <c r="S748" s="34"/>
      <c r="T748" s="34"/>
    </row>
    <row r="749">
      <c r="B749" s="33"/>
      <c r="J749" s="25"/>
      <c r="K749" s="25"/>
      <c r="L749" s="8"/>
      <c r="N749" s="23"/>
      <c r="O749" s="23"/>
      <c r="P749" s="23"/>
      <c r="Q749" s="23"/>
      <c r="R749" s="9"/>
      <c r="S749" s="34"/>
      <c r="T749" s="34"/>
    </row>
    <row r="750">
      <c r="B750" s="33"/>
      <c r="J750" s="25"/>
      <c r="K750" s="25"/>
      <c r="L750" s="8"/>
      <c r="N750" s="23"/>
      <c r="O750" s="23"/>
      <c r="P750" s="23"/>
      <c r="Q750" s="23"/>
      <c r="R750" s="9"/>
      <c r="S750" s="34"/>
      <c r="T750" s="34"/>
    </row>
    <row r="751">
      <c r="B751" s="33"/>
      <c r="J751" s="25"/>
      <c r="K751" s="25"/>
      <c r="L751" s="8"/>
      <c r="N751" s="23"/>
      <c r="O751" s="23"/>
      <c r="P751" s="23"/>
      <c r="Q751" s="23"/>
      <c r="R751" s="9"/>
      <c r="S751" s="34"/>
      <c r="T751" s="34"/>
    </row>
    <row r="752">
      <c r="B752" s="33"/>
      <c r="J752" s="25"/>
      <c r="K752" s="25"/>
      <c r="L752" s="8"/>
      <c r="N752" s="23"/>
      <c r="O752" s="23"/>
      <c r="P752" s="23"/>
      <c r="Q752" s="23"/>
      <c r="R752" s="9"/>
      <c r="S752" s="34"/>
      <c r="T752" s="34"/>
    </row>
    <row r="753">
      <c r="B753" s="33"/>
      <c r="J753" s="25"/>
      <c r="K753" s="25"/>
      <c r="L753" s="8"/>
      <c r="N753" s="23"/>
      <c r="O753" s="23"/>
      <c r="P753" s="23"/>
      <c r="Q753" s="23"/>
      <c r="R753" s="9"/>
      <c r="S753" s="34"/>
      <c r="T753" s="34"/>
    </row>
    <row r="754">
      <c r="B754" s="33"/>
      <c r="J754" s="25"/>
      <c r="K754" s="25"/>
      <c r="L754" s="8"/>
      <c r="N754" s="23"/>
      <c r="O754" s="23"/>
      <c r="P754" s="23"/>
      <c r="Q754" s="23"/>
      <c r="R754" s="9"/>
      <c r="S754" s="34"/>
      <c r="T754" s="34"/>
    </row>
    <row r="755">
      <c r="B755" s="33"/>
      <c r="J755" s="25"/>
      <c r="K755" s="25"/>
      <c r="L755" s="8"/>
      <c r="N755" s="23"/>
      <c r="O755" s="23"/>
      <c r="P755" s="23"/>
      <c r="Q755" s="23"/>
      <c r="R755" s="9"/>
      <c r="S755" s="34"/>
      <c r="T755" s="34"/>
    </row>
    <row r="756">
      <c r="B756" s="33"/>
      <c r="J756" s="25"/>
      <c r="K756" s="25"/>
      <c r="L756" s="8"/>
      <c r="N756" s="23"/>
      <c r="O756" s="23"/>
      <c r="P756" s="23"/>
      <c r="Q756" s="23"/>
      <c r="R756" s="9"/>
      <c r="S756" s="34"/>
      <c r="T756" s="34"/>
    </row>
    <row r="757">
      <c r="B757" s="33"/>
      <c r="J757" s="25"/>
      <c r="K757" s="25"/>
      <c r="L757" s="8"/>
      <c r="N757" s="23"/>
      <c r="O757" s="23"/>
      <c r="P757" s="23"/>
      <c r="Q757" s="23"/>
      <c r="R757" s="9"/>
      <c r="S757" s="34"/>
      <c r="T757" s="34"/>
    </row>
    <row r="758">
      <c r="B758" s="33"/>
      <c r="J758" s="25"/>
      <c r="K758" s="25"/>
      <c r="L758" s="8"/>
      <c r="N758" s="23"/>
      <c r="O758" s="23"/>
      <c r="P758" s="23"/>
      <c r="Q758" s="23"/>
      <c r="R758" s="9"/>
      <c r="S758" s="34"/>
      <c r="T758" s="34"/>
    </row>
    <row r="759">
      <c r="B759" s="33"/>
      <c r="J759" s="25"/>
      <c r="K759" s="25"/>
      <c r="L759" s="8"/>
      <c r="N759" s="23"/>
      <c r="O759" s="23"/>
      <c r="P759" s="23"/>
      <c r="Q759" s="23"/>
      <c r="R759" s="9"/>
      <c r="S759" s="34"/>
      <c r="T759" s="34"/>
    </row>
    <row r="760">
      <c r="B760" s="33"/>
      <c r="J760" s="25"/>
      <c r="K760" s="25"/>
      <c r="L760" s="8"/>
      <c r="N760" s="23"/>
      <c r="O760" s="23"/>
      <c r="P760" s="23"/>
      <c r="Q760" s="23"/>
      <c r="R760" s="9"/>
      <c r="S760" s="34"/>
      <c r="T760" s="34"/>
    </row>
    <row r="761">
      <c r="B761" s="33"/>
      <c r="J761" s="25"/>
      <c r="K761" s="25"/>
      <c r="L761" s="8"/>
      <c r="N761" s="23"/>
      <c r="O761" s="23"/>
      <c r="P761" s="23"/>
      <c r="Q761" s="23"/>
      <c r="R761" s="9"/>
      <c r="S761" s="34"/>
      <c r="T761" s="34"/>
    </row>
    <row r="762">
      <c r="B762" s="33"/>
      <c r="J762" s="25"/>
      <c r="K762" s="25"/>
      <c r="L762" s="8"/>
      <c r="N762" s="23"/>
      <c r="O762" s="23"/>
      <c r="P762" s="23"/>
      <c r="Q762" s="23"/>
      <c r="R762" s="9"/>
      <c r="S762" s="34"/>
      <c r="T762" s="34"/>
    </row>
    <row r="763">
      <c r="B763" s="33"/>
      <c r="J763" s="25"/>
      <c r="K763" s="25"/>
      <c r="L763" s="8"/>
      <c r="N763" s="23"/>
      <c r="O763" s="23"/>
      <c r="P763" s="23"/>
      <c r="Q763" s="23"/>
      <c r="R763" s="9"/>
      <c r="S763" s="34"/>
      <c r="T763" s="34"/>
    </row>
    <row r="764">
      <c r="B764" s="33"/>
      <c r="J764" s="25"/>
      <c r="K764" s="25"/>
      <c r="L764" s="8"/>
      <c r="N764" s="23"/>
      <c r="O764" s="23"/>
      <c r="P764" s="23"/>
      <c r="Q764" s="23"/>
      <c r="R764" s="9"/>
      <c r="S764" s="34"/>
      <c r="T764" s="34"/>
    </row>
    <row r="765">
      <c r="B765" s="33"/>
      <c r="J765" s="25"/>
      <c r="K765" s="25"/>
      <c r="L765" s="8"/>
      <c r="N765" s="23"/>
      <c r="O765" s="23"/>
      <c r="P765" s="23"/>
      <c r="Q765" s="23"/>
      <c r="R765" s="9"/>
      <c r="S765" s="34"/>
      <c r="T765" s="34"/>
    </row>
    <row r="766">
      <c r="B766" s="33"/>
      <c r="J766" s="25"/>
      <c r="K766" s="25"/>
      <c r="L766" s="8"/>
      <c r="N766" s="23"/>
      <c r="O766" s="23"/>
      <c r="P766" s="23"/>
      <c r="Q766" s="23"/>
      <c r="R766" s="9"/>
      <c r="S766" s="34"/>
      <c r="T766" s="34"/>
    </row>
    <row r="767">
      <c r="B767" s="33"/>
      <c r="J767" s="25"/>
      <c r="K767" s="25"/>
      <c r="L767" s="8"/>
      <c r="N767" s="23"/>
      <c r="O767" s="23"/>
      <c r="P767" s="23"/>
      <c r="Q767" s="23"/>
      <c r="R767" s="9"/>
      <c r="S767" s="34"/>
      <c r="T767" s="34"/>
    </row>
    <row r="768">
      <c r="B768" s="33"/>
      <c r="J768" s="25"/>
      <c r="K768" s="25"/>
      <c r="L768" s="8"/>
      <c r="N768" s="23"/>
      <c r="O768" s="23"/>
      <c r="P768" s="23"/>
      <c r="Q768" s="23"/>
      <c r="R768" s="9"/>
      <c r="S768" s="34"/>
      <c r="T768" s="34"/>
    </row>
    <row r="769">
      <c r="B769" s="33"/>
      <c r="J769" s="25"/>
      <c r="K769" s="25"/>
      <c r="L769" s="8"/>
      <c r="N769" s="23"/>
      <c r="O769" s="23"/>
      <c r="P769" s="23"/>
      <c r="Q769" s="23"/>
      <c r="R769" s="9"/>
      <c r="S769" s="34"/>
      <c r="T769" s="34"/>
    </row>
    <row r="770">
      <c r="B770" s="33"/>
      <c r="J770" s="25"/>
      <c r="K770" s="25"/>
      <c r="L770" s="8"/>
      <c r="N770" s="23"/>
      <c r="O770" s="23"/>
      <c r="P770" s="23"/>
      <c r="Q770" s="23"/>
      <c r="R770" s="9"/>
      <c r="S770" s="34"/>
      <c r="T770" s="34"/>
    </row>
    <row r="771">
      <c r="B771" s="33"/>
      <c r="J771" s="25"/>
      <c r="K771" s="25"/>
      <c r="L771" s="8"/>
      <c r="N771" s="23"/>
      <c r="O771" s="23"/>
      <c r="P771" s="23"/>
      <c r="Q771" s="23"/>
      <c r="R771" s="9"/>
      <c r="S771" s="34"/>
      <c r="T771" s="34"/>
    </row>
    <row r="772">
      <c r="B772" s="33"/>
      <c r="J772" s="25"/>
      <c r="K772" s="25"/>
      <c r="L772" s="8"/>
      <c r="N772" s="23"/>
      <c r="O772" s="23"/>
      <c r="P772" s="23"/>
      <c r="Q772" s="23"/>
      <c r="R772" s="9"/>
      <c r="S772" s="34"/>
      <c r="T772" s="34"/>
    </row>
    <row r="773">
      <c r="B773" s="33"/>
      <c r="J773" s="25"/>
      <c r="K773" s="25"/>
      <c r="L773" s="8"/>
      <c r="N773" s="23"/>
      <c r="O773" s="23"/>
      <c r="P773" s="23"/>
      <c r="Q773" s="23"/>
      <c r="R773" s="9"/>
      <c r="S773" s="34"/>
      <c r="T773" s="34"/>
    </row>
    <row r="774">
      <c r="B774" s="33"/>
      <c r="J774" s="25"/>
      <c r="K774" s="25"/>
      <c r="L774" s="8"/>
      <c r="N774" s="23"/>
      <c r="O774" s="23"/>
      <c r="P774" s="23"/>
      <c r="Q774" s="23"/>
      <c r="R774" s="9"/>
      <c r="S774" s="34"/>
      <c r="T774" s="34"/>
    </row>
    <row r="775">
      <c r="B775" s="33"/>
      <c r="J775" s="25"/>
      <c r="K775" s="25"/>
      <c r="L775" s="8"/>
      <c r="N775" s="23"/>
      <c r="O775" s="23"/>
      <c r="P775" s="23"/>
      <c r="Q775" s="23"/>
      <c r="R775" s="9"/>
      <c r="S775" s="34"/>
      <c r="T775" s="34"/>
    </row>
    <row r="776">
      <c r="B776" s="33"/>
      <c r="J776" s="25"/>
      <c r="K776" s="25"/>
      <c r="L776" s="8"/>
      <c r="N776" s="23"/>
      <c r="O776" s="23"/>
      <c r="P776" s="23"/>
      <c r="Q776" s="23"/>
      <c r="R776" s="9"/>
      <c r="S776" s="34"/>
      <c r="T776" s="34"/>
    </row>
    <row r="777">
      <c r="B777" s="33"/>
      <c r="J777" s="25"/>
      <c r="K777" s="25"/>
      <c r="L777" s="8"/>
      <c r="N777" s="23"/>
      <c r="O777" s="23"/>
      <c r="P777" s="23"/>
      <c r="Q777" s="23"/>
      <c r="R777" s="9"/>
      <c r="S777" s="34"/>
      <c r="T777" s="34"/>
    </row>
    <row r="778">
      <c r="B778" s="33"/>
      <c r="J778" s="25"/>
      <c r="K778" s="25"/>
      <c r="L778" s="8"/>
      <c r="N778" s="23"/>
      <c r="O778" s="23"/>
      <c r="P778" s="23"/>
      <c r="Q778" s="23"/>
      <c r="R778" s="9"/>
      <c r="S778" s="34"/>
      <c r="T778" s="34"/>
    </row>
    <row r="779">
      <c r="B779" s="33"/>
      <c r="J779" s="25"/>
      <c r="K779" s="25"/>
      <c r="L779" s="8"/>
      <c r="N779" s="23"/>
      <c r="O779" s="23"/>
      <c r="P779" s="23"/>
      <c r="Q779" s="23"/>
      <c r="R779" s="9"/>
      <c r="S779" s="34"/>
      <c r="T779" s="34"/>
    </row>
    <row r="780">
      <c r="B780" s="33"/>
      <c r="J780" s="25"/>
      <c r="K780" s="25"/>
      <c r="L780" s="8"/>
      <c r="N780" s="23"/>
      <c r="O780" s="23"/>
      <c r="P780" s="23"/>
      <c r="Q780" s="23"/>
      <c r="R780" s="9"/>
      <c r="S780" s="34"/>
      <c r="T780" s="34"/>
    </row>
    <row r="781">
      <c r="B781" s="33"/>
      <c r="J781" s="25"/>
      <c r="K781" s="25"/>
      <c r="L781" s="8"/>
      <c r="N781" s="23"/>
      <c r="O781" s="23"/>
      <c r="P781" s="23"/>
      <c r="Q781" s="23"/>
      <c r="R781" s="9"/>
      <c r="S781" s="34"/>
      <c r="T781" s="34"/>
    </row>
    <row r="782">
      <c r="B782" s="33"/>
      <c r="J782" s="25"/>
      <c r="K782" s="25"/>
      <c r="L782" s="8"/>
      <c r="N782" s="23"/>
      <c r="O782" s="23"/>
      <c r="P782" s="23"/>
      <c r="Q782" s="23"/>
      <c r="R782" s="9"/>
      <c r="S782" s="34"/>
      <c r="T782" s="34"/>
    </row>
    <row r="783">
      <c r="B783" s="33"/>
      <c r="J783" s="25"/>
      <c r="K783" s="25"/>
      <c r="L783" s="8"/>
      <c r="N783" s="23"/>
      <c r="O783" s="23"/>
      <c r="P783" s="23"/>
      <c r="Q783" s="23"/>
      <c r="R783" s="9"/>
      <c r="S783" s="34"/>
      <c r="T783" s="34"/>
    </row>
    <row r="784">
      <c r="B784" s="33"/>
      <c r="J784" s="25"/>
      <c r="K784" s="25"/>
      <c r="L784" s="8"/>
      <c r="N784" s="23"/>
      <c r="O784" s="23"/>
      <c r="P784" s="23"/>
      <c r="Q784" s="23"/>
      <c r="R784" s="9"/>
      <c r="S784" s="34"/>
      <c r="T784" s="34"/>
    </row>
    <row r="785">
      <c r="B785" s="33"/>
      <c r="J785" s="25"/>
      <c r="K785" s="25"/>
      <c r="L785" s="8"/>
      <c r="N785" s="23"/>
      <c r="O785" s="23"/>
      <c r="P785" s="23"/>
      <c r="Q785" s="23"/>
      <c r="R785" s="9"/>
      <c r="S785" s="34"/>
      <c r="T785" s="34"/>
    </row>
    <row r="786">
      <c r="B786" s="33"/>
      <c r="J786" s="25"/>
      <c r="K786" s="25"/>
      <c r="L786" s="8"/>
      <c r="N786" s="23"/>
      <c r="O786" s="23"/>
      <c r="P786" s="23"/>
      <c r="Q786" s="23"/>
      <c r="R786" s="9"/>
      <c r="S786" s="34"/>
      <c r="T786" s="34"/>
    </row>
    <row r="787">
      <c r="B787" s="33"/>
      <c r="J787" s="25"/>
      <c r="K787" s="25"/>
      <c r="L787" s="8"/>
      <c r="N787" s="23"/>
      <c r="O787" s="23"/>
      <c r="P787" s="23"/>
      <c r="Q787" s="23"/>
      <c r="R787" s="9"/>
      <c r="S787" s="34"/>
      <c r="T787" s="34"/>
    </row>
    <row r="788">
      <c r="B788" s="33"/>
      <c r="J788" s="25"/>
      <c r="K788" s="25"/>
      <c r="L788" s="8"/>
      <c r="N788" s="23"/>
      <c r="O788" s="23"/>
      <c r="P788" s="23"/>
      <c r="Q788" s="23"/>
      <c r="R788" s="9"/>
      <c r="S788" s="34"/>
      <c r="T788" s="34"/>
    </row>
    <row r="789">
      <c r="B789" s="33"/>
      <c r="J789" s="25"/>
      <c r="K789" s="25"/>
      <c r="L789" s="8"/>
      <c r="N789" s="23"/>
      <c r="O789" s="23"/>
      <c r="P789" s="23"/>
      <c r="Q789" s="23"/>
      <c r="R789" s="9"/>
      <c r="S789" s="34"/>
      <c r="T789" s="34"/>
    </row>
    <row r="790">
      <c r="B790" s="33"/>
      <c r="J790" s="25"/>
      <c r="K790" s="25"/>
      <c r="L790" s="8"/>
      <c r="N790" s="23"/>
      <c r="O790" s="23"/>
      <c r="P790" s="23"/>
      <c r="Q790" s="23"/>
      <c r="R790" s="9"/>
      <c r="S790" s="34"/>
      <c r="T790" s="34"/>
    </row>
    <row r="791">
      <c r="B791" s="33"/>
      <c r="J791" s="25"/>
      <c r="K791" s="25"/>
      <c r="L791" s="8"/>
      <c r="N791" s="23"/>
      <c r="O791" s="23"/>
      <c r="P791" s="23"/>
      <c r="Q791" s="23"/>
      <c r="R791" s="9"/>
      <c r="S791" s="34"/>
      <c r="T791" s="34"/>
    </row>
    <row r="792">
      <c r="B792" s="33"/>
      <c r="J792" s="25"/>
      <c r="K792" s="25"/>
      <c r="L792" s="8"/>
      <c r="N792" s="23"/>
      <c r="O792" s="23"/>
      <c r="P792" s="23"/>
      <c r="Q792" s="23"/>
      <c r="R792" s="9"/>
      <c r="S792" s="34"/>
      <c r="T792" s="34"/>
    </row>
    <row r="793">
      <c r="B793" s="33"/>
      <c r="J793" s="25"/>
      <c r="K793" s="25"/>
      <c r="L793" s="8"/>
      <c r="N793" s="23"/>
      <c r="O793" s="23"/>
      <c r="P793" s="23"/>
      <c r="Q793" s="23"/>
      <c r="R793" s="9"/>
      <c r="S793" s="34"/>
      <c r="T793" s="34"/>
    </row>
    <row r="794">
      <c r="B794" s="33"/>
      <c r="J794" s="25"/>
      <c r="K794" s="25"/>
      <c r="L794" s="8"/>
      <c r="N794" s="23"/>
      <c r="O794" s="23"/>
      <c r="P794" s="23"/>
      <c r="Q794" s="23"/>
      <c r="R794" s="9"/>
      <c r="S794" s="34"/>
      <c r="T794" s="34"/>
    </row>
    <row r="795">
      <c r="B795" s="33"/>
      <c r="J795" s="25"/>
      <c r="K795" s="25"/>
      <c r="L795" s="8"/>
      <c r="N795" s="23"/>
      <c r="O795" s="23"/>
      <c r="P795" s="23"/>
      <c r="Q795" s="23"/>
      <c r="R795" s="9"/>
      <c r="S795" s="34"/>
      <c r="T795" s="34"/>
    </row>
    <row r="796">
      <c r="B796" s="33"/>
      <c r="J796" s="25"/>
      <c r="K796" s="25"/>
      <c r="L796" s="8"/>
      <c r="N796" s="23"/>
      <c r="O796" s="23"/>
      <c r="P796" s="23"/>
      <c r="Q796" s="23"/>
      <c r="R796" s="9"/>
      <c r="S796" s="34"/>
      <c r="T796" s="34"/>
    </row>
    <row r="797">
      <c r="B797" s="33"/>
      <c r="J797" s="25"/>
      <c r="K797" s="25"/>
      <c r="L797" s="8"/>
      <c r="N797" s="23"/>
      <c r="O797" s="23"/>
      <c r="P797" s="23"/>
      <c r="Q797" s="23"/>
      <c r="R797" s="9"/>
      <c r="S797" s="34"/>
      <c r="T797" s="34"/>
    </row>
    <row r="798">
      <c r="B798" s="33"/>
      <c r="J798" s="25"/>
      <c r="K798" s="25"/>
      <c r="L798" s="8"/>
      <c r="N798" s="23"/>
      <c r="O798" s="23"/>
      <c r="P798" s="23"/>
      <c r="Q798" s="23"/>
      <c r="R798" s="9"/>
      <c r="S798" s="34"/>
      <c r="T798" s="34"/>
    </row>
    <row r="799">
      <c r="B799" s="33"/>
      <c r="J799" s="25"/>
      <c r="K799" s="25"/>
      <c r="L799" s="8"/>
      <c r="N799" s="23"/>
      <c r="O799" s="23"/>
      <c r="P799" s="23"/>
      <c r="Q799" s="23"/>
      <c r="R799" s="9"/>
      <c r="S799" s="34"/>
      <c r="T799" s="34"/>
    </row>
    <row r="800">
      <c r="B800" s="33"/>
      <c r="J800" s="25"/>
      <c r="K800" s="25"/>
      <c r="L800" s="8"/>
      <c r="N800" s="23"/>
      <c r="O800" s="23"/>
      <c r="P800" s="23"/>
      <c r="Q800" s="23"/>
      <c r="R800" s="9"/>
      <c r="S800" s="34"/>
      <c r="T800" s="34"/>
    </row>
    <row r="801">
      <c r="B801" s="33"/>
      <c r="J801" s="25"/>
      <c r="K801" s="25"/>
      <c r="L801" s="8"/>
      <c r="N801" s="23"/>
      <c r="O801" s="23"/>
      <c r="P801" s="23"/>
      <c r="Q801" s="23"/>
      <c r="R801" s="9"/>
      <c r="S801" s="34"/>
      <c r="T801" s="34"/>
    </row>
    <row r="802">
      <c r="B802" s="33"/>
      <c r="J802" s="25"/>
      <c r="K802" s="25"/>
      <c r="L802" s="8"/>
      <c r="N802" s="23"/>
      <c r="O802" s="23"/>
      <c r="P802" s="23"/>
      <c r="Q802" s="23"/>
      <c r="R802" s="9"/>
      <c r="S802" s="34"/>
      <c r="T802" s="34"/>
    </row>
    <row r="803">
      <c r="B803" s="33"/>
      <c r="J803" s="25"/>
      <c r="K803" s="25"/>
      <c r="L803" s="8"/>
      <c r="N803" s="23"/>
      <c r="O803" s="23"/>
      <c r="P803" s="23"/>
      <c r="Q803" s="23"/>
      <c r="R803" s="9"/>
      <c r="S803" s="34"/>
      <c r="T803" s="34"/>
    </row>
    <row r="804">
      <c r="B804" s="33"/>
      <c r="J804" s="25"/>
      <c r="K804" s="25"/>
      <c r="L804" s="8"/>
      <c r="N804" s="23"/>
      <c r="O804" s="23"/>
      <c r="P804" s="23"/>
      <c r="Q804" s="23"/>
      <c r="R804" s="9"/>
      <c r="S804" s="34"/>
      <c r="T804" s="34"/>
    </row>
    <row r="805">
      <c r="B805" s="33"/>
      <c r="J805" s="25"/>
      <c r="K805" s="25"/>
      <c r="L805" s="8"/>
      <c r="N805" s="23"/>
      <c r="O805" s="23"/>
      <c r="P805" s="23"/>
      <c r="Q805" s="23"/>
      <c r="R805" s="9"/>
      <c r="S805" s="34"/>
      <c r="T805" s="34"/>
    </row>
    <row r="806">
      <c r="B806" s="33"/>
      <c r="J806" s="25"/>
      <c r="K806" s="25"/>
      <c r="L806" s="8"/>
      <c r="N806" s="23"/>
      <c r="O806" s="23"/>
      <c r="P806" s="23"/>
      <c r="Q806" s="23"/>
      <c r="R806" s="9"/>
      <c r="S806" s="34"/>
      <c r="T806" s="34"/>
    </row>
    <row r="807">
      <c r="B807" s="33"/>
      <c r="J807" s="25"/>
      <c r="K807" s="25"/>
      <c r="L807" s="8"/>
      <c r="N807" s="23"/>
      <c r="O807" s="23"/>
      <c r="P807" s="23"/>
      <c r="Q807" s="23"/>
      <c r="R807" s="9"/>
      <c r="S807" s="34"/>
      <c r="T807" s="34"/>
    </row>
    <row r="808">
      <c r="B808" s="33"/>
      <c r="J808" s="25"/>
      <c r="K808" s="25"/>
      <c r="L808" s="8"/>
      <c r="N808" s="23"/>
      <c r="O808" s="23"/>
      <c r="P808" s="23"/>
      <c r="Q808" s="23"/>
      <c r="R808" s="9"/>
      <c r="S808" s="34"/>
      <c r="T808" s="34"/>
    </row>
    <row r="809">
      <c r="B809" s="33"/>
      <c r="J809" s="25"/>
      <c r="K809" s="25"/>
      <c r="L809" s="8"/>
      <c r="N809" s="23"/>
      <c r="O809" s="23"/>
      <c r="P809" s="23"/>
      <c r="Q809" s="23"/>
      <c r="R809" s="9"/>
      <c r="S809" s="34"/>
      <c r="T809" s="34"/>
    </row>
    <row r="810">
      <c r="B810" s="33"/>
      <c r="J810" s="25"/>
      <c r="K810" s="25"/>
      <c r="L810" s="8"/>
      <c r="N810" s="23"/>
      <c r="O810" s="23"/>
      <c r="P810" s="23"/>
      <c r="Q810" s="23"/>
      <c r="R810" s="9"/>
      <c r="S810" s="34"/>
      <c r="T810" s="34"/>
    </row>
    <row r="811">
      <c r="B811" s="33"/>
      <c r="J811" s="25"/>
      <c r="K811" s="25"/>
      <c r="L811" s="8"/>
      <c r="N811" s="23"/>
      <c r="O811" s="23"/>
      <c r="P811" s="23"/>
      <c r="Q811" s="23"/>
      <c r="R811" s="9"/>
      <c r="S811" s="34"/>
      <c r="T811" s="34"/>
    </row>
    <row r="812">
      <c r="B812" s="33"/>
      <c r="J812" s="25"/>
      <c r="K812" s="25"/>
      <c r="L812" s="8"/>
      <c r="N812" s="23"/>
      <c r="O812" s="23"/>
      <c r="P812" s="23"/>
      <c r="Q812" s="23"/>
      <c r="R812" s="9"/>
      <c r="S812" s="34"/>
      <c r="T812" s="34"/>
    </row>
    <row r="813">
      <c r="B813" s="33"/>
      <c r="J813" s="25"/>
      <c r="K813" s="25"/>
      <c r="L813" s="8"/>
      <c r="N813" s="23"/>
      <c r="O813" s="23"/>
      <c r="P813" s="23"/>
      <c r="Q813" s="23"/>
      <c r="R813" s="9"/>
      <c r="S813" s="34"/>
      <c r="T813" s="34"/>
    </row>
    <row r="814">
      <c r="B814" s="33"/>
      <c r="J814" s="25"/>
      <c r="K814" s="25"/>
      <c r="L814" s="8"/>
      <c r="N814" s="23"/>
      <c r="O814" s="23"/>
      <c r="P814" s="23"/>
      <c r="Q814" s="23"/>
      <c r="R814" s="9"/>
      <c r="S814" s="34"/>
      <c r="T814" s="34"/>
    </row>
    <row r="815">
      <c r="B815" s="33"/>
      <c r="J815" s="25"/>
      <c r="K815" s="25"/>
      <c r="L815" s="8"/>
      <c r="N815" s="23"/>
      <c r="O815" s="23"/>
      <c r="P815" s="23"/>
      <c r="Q815" s="23"/>
      <c r="R815" s="9"/>
      <c r="S815" s="34"/>
      <c r="T815" s="34"/>
    </row>
    <row r="816">
      <c r="B816" s="33"/>
      <c r="J816" s="25"/>
      <c r="K816" s="25"/>
      <c r="L816" s="8"/>
      <c r="N816" s="23"/>
      <c r="O816" s="23"/>
      <c r="P816" s="23"/>
      <c r="Q816" s="23"/>
      <c r="R816" s="9"/>
      <c r="S816" s="34"/>
      <c r="T816" s="34"/>
    </row>
    <row r="817">
      <c r="B817" s="33"/>
      <c r="J817" s="25"/>
      <c r="K817" s="25"/>
      <c r="L817" s="8"/>
      <c r="N817" s="23"/>
      <c r="O817" s="23"/>
      <c r="P817" s="23"/>
      <c r="Q817" s="23"/>
      <c r="R817" s="9"/>
      <c r="S817" s="34"/>
      <c r="T817" s="34"/>
    </row>
    <row r="818">
      <c r="B818" s="33"/>
      <c r="J818" s="25"/>
      <c r="K818" s="25"/>
      <c r="L818" s="8"/>
      <c r="N818" s="23"/>
      <c r="O818" s="23"/>
      <c r="P818" s="23"/>
      <c r="Q818" s="23"/>
      <c r="R818" s="9"/>
      <c r="S818" s="34"/>
      <c r="T818" s="34"/>
    </row>
    <row r="819">
      <c r="B819" s="33"/>
      <c r="J819" s="25"/>
      <c r="K819" s="25"/>
      <c r="L819" s="8"/>
      <c r="N819" s="23"/>
      <c r="O819" s="23"/>
      <c r="P819" s="23"/>
      <c r="Q819" s="23"/>
      <c r="R819" s="9"/>
      <c r="S819" s="34"/>
      <c r="T819" s="34"/>
    </row>
    <row r="820">
      <c r="B820" s="33"/>
      <c r="J820" s="25"/>
      <c r="K820" s="25"/>
      <c r="L820" s="8"/>
      <c r="N820" s="23"/>
      <c r="O820" s="23"/>
      <c r="P820" s="23"/>
      <c r="Q820" s="23"/>
      <c r="R820" s="9"/>
      <c r="S820" s="34"/>
      <c r="T820" s="34"/>
    </row>
    <row r="821">
      <c r="B821" s="33"/>
      <c r="J821" s="25"/>
      <c r="K821" s="25"/>
      <c r="L821" s="8"/>
      <c r="N821" s="23"/>
      <c r="O821" s="23"/>
      <c r="P821" s="23"/>
      <c r="Q821" s="23"/>
      <c r="R821" s="9"/>
      <c r="S821" s="34"/>
      <c r="T821" s="34"/>
    </row>
    <row r="822">
      <c r="B822" s="33"/>
      <c r="J822" s="25"/>
      <c r="K822" s="25"/>
      <c r="L822" s="8"/>
      <c r="N822" s="23"/>
      <c r="O822" s="23"/>
      <c r="P822" s="23"/>
      <c r="Q822" s="23"/>
      <c r="R822" s="9"/>
      <c r="S822" s="34"/>
      <c r="T822" s="34"/>
    </row>
    <row r="823">
      <c r="B823" s="33"/>
      <c r="J823" s="25"/>
      <c r="K823" s="25"/>
      <c r="L823" s="8"/>
      <c r="N823" s="23"/>
      <c r="O823" s="23"/>
      <c r="P823" s="23"/>
      <c r="Q823" s="23"/>
      <c r="R823" s="9"/>
      <c r="S823" s="34"/>
      <c r="T823" s="34"/>
    </row>
    <row r="824">
      <c r="B824" s="33"/>
      <c r="J824" s="25"/>
      <c r="K824" s="25"/>
      <c r="L824" s="8"/>
      <c r="N824" s="23"/>
      <c r="O824" s="23"/>
      <c r="P824" s="23"/>
      <c r="Q824" s="23"/>
      <c r="R824" s="9"/>
      <c r="S824" s="34"/>
      <c r="T824" s="34"/>
    </row>
    <row r="825">
      <c r="B825" s="33"/>
      <c r="J825" s="25"/>
      <c r="K825" s="25"/>
      <c r="L825" s="8"/>
      <c r="N825" s="23"/>
      <c r="O825" s="23"/>
      <c r="P825" s="23"/>
      <c r="Q825" s="23"/>
      <c r="R825" s="9"/>
      <c r="S825" s="34"/>
      <c r="T825" s="34"/>
    </row>
    <row r="826">
      <c r="B826" s="33"/>
      <c r="J826" s="25"/>
      <c r="K826" s="25"/>
      <c r="L826" s="8"/>
      <c r="N826" s="23"/>
      <c r="O826" s="23"/>
      <c r="P826" s="23"/>
      <c r="Q826" s="23"/>
      <c r="R826" s="9"/>
      <c r="S826" s="34"/>
      <c r="T826" s="34"/>
    </row>
    <row r="827">
      <c r="B827" s="33"/>
      <c r="J827" s="25"/>
      <c r="K827" s="25"/>
      <c r="L827" s="8"/>
      <c r="N827" s="23"/>
      <c r="O827" s="23"/>
      <c r="P827" s="23"/>
      <c r="Q827" s="23"/>
      <c r="R827" s="9"/>
      <c r="S827" s="34"/>
      <c r="T827" s="34"/>
    </row>
    <row r="828">
      <c r="B828" s="33"/>
      <c r="J828" s="25"/>
      <c r="K828" s="25"/>
      <c r="L828" s="8"/>
      <c r="N828" s="23"/>
      <c r="O828" s="23"/>
      <c r="P828" s="23"/>
      <c r="Q828" s="23"/>
      <c r="R828" s="9"/>
      <c r="S828" s="34"/>
      <c r="T828" s="34"/>
    </row>
    <row r="829">
      <c r="B829" s="33"/>
      <c r="J829" s="25"/>
      <c r="K829" s="25"/>
      <c r="L829" s="8"/>
      <c r="N829" s="23"/>
      <c r="O829" s="23"/>
      <c r="P829" s="23"/>
      <c r="Q829" s="23"/>
      <c r="R829" s="9"/>
      <c r="S829" s="34"/>
      <c r="T829" s="34"/>
    </row>
    <row r="830">
      <c r="B830" s="33"/>
      <c r="J830" s="25"/>
      <c r="K830" s="25"/>
      <c r="L830" s="8"/>
      <c r="N830" s="23"/>
      <c r="O830" s="23"/>
      <c r="P830" s="23"/>
      <c r="Q830" s="23"/>
      <c r="R830" s="9"/>
      <c r="S830" s="34"/>
      <c r="T830" s="34"/>
    </row>
    <row r="831">
      <c r="B831" s="33"/>
      <c r="J831" s="25"/>
      <c r="K831" s="25"/>
      <c r="L831" s="8"/>
      <c r="N831" s="23"/>
      <c r="O831" s="23"/>
      <c r="P831" s="23"/>
      <c r="Q831" s="23"/>
      <c r="R831" s="9"/>
      <c r="S831" s="34"/>
      <c r="T831" s="34"/>
    </row>
    <row r="832">
      <c r="B832" s="33"/>
      <c r="J832" s="25"/>
      <c r="K832" s="25"/>
      <c r="L832" s="8"/>
      <c r="N832" s="23"/>
      <c r="O832" s="23"/>
      <c r="P832" s="23"/>
      <c r="Q832" s="23"/>
      <c r="R832" s="9"/>
      <c r="S832" s="34"/>
      <c r="T832" s="34"/>
    </row>
    <row r="833">
      <c r="B833" s="33"/>
      <c r="J833" s="25"/>
      <c r="K833" s="25"/>
      <c r="L833" s="8"/>
      <c r="N833" s="23"/>
      <c r="O833" s="23"/>
      <c r="P833" s="23"/>
      <c r="Q833" s="23"/>
      <c r="R833" s="9"/>
      <c r="S833" s="34"/>
      <c r="T833" s="34"/>
    </row>
    <row r="834">
      <c r="B834" s="33"/>
      <c r="J834" s="25"/>
      <c r="K834" s="25"/>
      <c r="L834" s="8"/>
      <c r="N834" s="23"/>
      <c r="O834" s="23"/>
      <c r="P834" s="23"/>
      <c r="Q834" s="23"/>
      <c r="R834" s="9"/>
      <c r="S834" s="34"/>
      <c r="T834" s="34"/>
    </row>
    <row r="835">
      <c r="B835" s="33"/>
      <c r="J835" s="25"/>
      <c r="K835" s="25"/>
      <c r="L835" s="8"/>
      <c r="N835" s="23"/>
      <c r="O835" s="23"/>
      <c r="P835" s="23"/>
      <c r="Q835" s="23"/>
      <c r="R835" s="9"/>
      <c r="S835" s="34"/>
      <c r="T835" s="34"/>
    </row>
    <row r="836">
      <c r="B836" s="33"/>
      <c r="J836" s="25"/>
      <c r="K836" s="25"/>
      <c r="L836" s="8"/>
      <c r="N836" s="23"/>
      <c r="O836" s="23"/>
      <c r="P836" s="23"/>
      <c r="Q836" s="23"/>
      <c r="R836" s="9"/>
      <c r="S836" s="34"/>
      <c r="T836" s="34"/>
    </row>
    <row r="837">
      <c r="B837" s="33"/>
      <c r="J837" s="25"/>
      <c r="K837" s="25"/>
      <c r="L837" s="8"/>
      <c r="N837" s="23"/>
      <c r="O837" s="23"/>
      <c r="P837" s="23"/>
      <c r="Q837" s="23"/>
      <c r="R837" s="9"/>
      <c r="S837" s="34"/>
      <c r="T837" s="34"/>
    </row>
    <row r="838">
      <c r="B838" s="33"/>
      <c r="J838" s="25"/>
      <c r="K838" s="25"/>
      <c r="L838" s="8"/>
      <c r="N838" s="23"/>
      <c r="O838" s="23"/>
      <c r="P838" s="23"/>
      <c r="Q838" s="23"/>
      <c r="R838" s="9"/>
      <c r="S838" s="34"/>
      <c r="T838" s="34"/>
    </row>
    <row r="839">
      <c r="B839" s="33"/>
      <c r="J839" s="25"/>
      <c r="K839" s="25"/>
      <c r="L839" s="8"/>
      <c r="N839" s="23"/>
      <c r="O839" s="23"/>
      <c r="P839" s="23"/>
      <c r="Q839" s="23"/>
      <c r="R839" s="9"/>
      <c r="S839" s="34"/>
      <c r="T839" s="34"/>
    </row>
    <row r="840">
      <c r="B840" s="33"/>
      <c r="J840" s="25"/>
      <c r="K840" s="25"/>
      <c r="L840" s="8"/>
      <c r="N840" s="23"/>
      <c r="O840" s="23"/>
      <c r="P840" s="23"/>
      <c r="Q840" s="23"/>
      <c r="R840" s="9"/>
      <c r="S840" s="34"/>
      <c r="T840" s="34"/>
    </row>
    <row r="841">
      <c r="B841" s="33"/>
      <c r="J841" s="25"/>
      <c r="K841" s="25"/>
      <c r="L841" s="8"/>
      <c r="N841" s="23"/>
      <c r="O841" s="23"/>
      <c r="P841" s="23"/>
      <c r="Q841" s="23"/>
      <c r="R841" s="9"/>
      <c r="S841" s="34"/>
      <c r="T841" s="34"/>
    </row>
    <row r="842">
      <c r="B842" s="33"/>
      <c r="J842" s="25"/>
      <c r="K842" s="25"/>
      <c r="L842" s="8"/>
      <c r="N842" s="23"/>
      <c r="O842" s="23"/>
      <c r="P842" s="23"/>
      <c r="Q842" s="23"/>
      <c r="R842" s="9"/>
      <c r="S842" s="34"/>
      <c r="T842" s="34"/>
    </row>
    <row r="843">
      <c r="B843" s="33"/>
      <c r="J843" s="25"/>
      <c r="K843" s="25"/>
      <c r="L843" s="8"/>
      <c r="N843" s="23"/>
      <c r="O843" s="23"/>
      <c r="P843" s="23"/>
      <c r="Q843" s="23"/>
      <c r="R843" s="9"/>
      <c r="S843" s="34"/>
      <c r="T843" s="34"/>
    </row>
    <row r="844">
      <c r="B844" s="33"/>
      <c r="J844" s="25"/>
      <c r="K844" s="25"/>
      <c r="L844" s="8"/>
      <c r="N844" s="23"/>
      <c r="O844" s="23"/>
      <c r="P844" s="23"/>
      <c r="Q844" s="23"/>
      <c r="R844" s="9"/>
      <c r="S844" s="34"/>
      <c r="T844" s="34"/>
    </row>
    <row r="845">
      <c r="B845" s="33"/>
      <c r="J845" s="25"/>
      <c r="K845" s="25"/>
      <c r="L845" s="8"/>
      <c r="N845" s="23"/>
      <c r="O845" s="23"/>
      <c r="P845" s="23"/>
      <c r="Q845" s="23"/>
      <c r="R845" s="9"/>
      <c r="S845" s="34"/>
      <c r="T845" s="34"/>
    </row>
    <row r="846">
      <c r="B846" s="33"/>
      <c r="J846" s="25"/>
      <c r="K846" s="25"/>
      <c r="L846" s="8"/>
      <c r="N846" s="23"/>
      <c r="O846" s="23"/>
      <c r="P846" s="23"/>
      <c r="Q846" s="23"/>
      <c r="R846" s="9"/>
      <c r="S846" s="34"/>
      <c r="T846" s="34"/>
    </row>
    <row r="847">
      <c r="B847" s="33"/>
      <c r="J847" s="25"/>
      <c r="K847" s="25"/>
      <c r="L847" s="8"/>
      <c r="N847" s="23"/>
      <c r="O847" s="23"/>
      <c r="P847" s="23"/>
      <c r="Q847" s="23"/>
      <c r="R847" s="9"/>
      <c r="S847" s="34"/>
      <c r="T847" s="34"/>
    </row>
    <row r="848">
      <c r="B848" s="33"/>
      <c r="J848" s="25"/>
      <c r="K848" s="25"/>
      <c r="L848" s="8"/>
      <c r="N848" s="23"/>
      <c r="O848" s="23"/>
      <c r="P848" s="23"/>
      <c r="Q848" s="23"/>
      <c r="R848" s="9"/>
      <c r="S848" s="34"/>
      <c r="T848" s="34"/>
    </row>
    <row r="849">
      <c r="B849" s="33"/>
      <c r="J849" s="25"/>
      <c r="K849" s="25"/>
      <c r="L849" s="8"/>
      <c r="N849" s="23"/>
      <c r="O849" s="23"/>
      <c r="P849" s="23"/>
      <c r="Q849" s="23"/>
      <c r="R849" s="9"/>
      <c r="S849" s="34"/>
      <c r="T849" s="34"/>
    </row>
    <row r="850">
      <c r="B850" s="33"/>
      <c r="J850" s="25"/>
      <c r="K850" s="25"/>
      <c r="L850" s="8"/>
      <c r="N850" s="23"/>
      <c r="O850" s="23"/>
      <c r="P850" s="23"/>
      <c r="Q850" s="23"/>
      <c r="R850" s="9"/>
      <c r="S850" s="34"/>
      <c r="T850" s="34"/>
    </row>
    <row r="851">
      <c r="B851" s="33"/>
      <c r="J851" s="25"/>
      <c r="K851" s="25"/>
      <c r="L851" s="8"/>
      <c r="N851" s="23"/>
      <c r="O851" s="23"/>
      <c r="P851" s="23"/>
      <c r="Q851" s="23"/>
      <c r="R851" s="9"/>
      <c r="S851" s="34"/>
      <c r="T851" s="34"/>
    </row>
    <row r="852">
      <c r="B852" s="33"/>
      <c r="J852" s="25"/>
      <c r="K852" s="25"/>
      <c r="L852" s="8"/>
      <c r="N852" s="23"/>
      <c r="O852" s="23"/>
      <c r="P852" s="23"/>
      <c r="Q852" s="23"/>
      <c r="R852" s="9"/>
      <c r="S852" s="34"/>
      <c r="T852" s="34"/>
    </row>
    <row r="853">
      <c r="B853" s="33"/>
      <c r="J853" s="25"/>
      <c r="K853" s="25"/>
      <c r="L853" s="8"/>
      <c r="N853" s="23"/>
      <c r="O853" s="23"/>
      <c r="P853" s="23"/>
      <c r="Q853" s="23"/>
      <c r="R853" s="9"/>
      <c r="S853" s="34"/>
      <c r="T853" s="34"/>
    </row>
    <row r="854">
      <c r="B854" s="33"/>
      <c r="J854" s="25"/>
      <c r="K854" s="25"/>
      <c r="L854" s="8"/>
      <c r="N854" s="23"/>
      <c r="O854" s="23"/>
      <c r="P854" s="23"/>
      <c r="Q854" s="23"/>
      <c r="R854" s="9"/>
      <c r="S854" s="34"/>
      <c r="T854" s="34"/>
    </row>
    <row r="855">
      <c r="B855" s="33"/>
      <c r="J855" s="25"/>
      <c r="K855" s="25"/>
      <c r="L855" s="8"/>
      <c r="N855" s="23"/>
      <c r="O855" s="23"/>
      <c r="P855" s="23"/>
      <c r="Q855" s="23"/>
      <c r="R855" s="9"/>
      <c r="S855" s="34"/>
      <c r="T855" s="34"/>
    </row>
    <row r="856">
      <c r="B856" s="33"/>
      <c r="J856" s="25"/>
      <c r="K856" s="25"/>
      <c r="L856" s="8"/>
      <c r="N856" s="23"/>
      <c r="O856" s="23"/>
      <c r="P856" s="23"/>
      <c r="Q856" s="23"/>
      <c r="R856" s="9"/>
      <c r="S856" s="34"/>
      <c r="T856" s="34"/>
    </row>
    <row r="857">
      <c r="B857" s="33"/>
      <c r="J857" s="25"/>
      <c r="K857" s="25"/>
      <c r="L857" s="8"/>
      <c r="N857" s="23"/>
      <c r="O857" s="23"/>
      <c r="P857" s="23"/>
      <c r="Q857" s="23"/>
      <c r="R857" s="9"/>
      <c r="S857" s="34"/>
      <c r="T857" s="34"/>
    </row>
    <row r="858">
      <c r="B858" s="33"/>
      <c r="J858" s="25"/>
      <c r="K858" s="25"/>
      <c r="L858" s="8"/>
      <c r="N858" s="23"/>
      <c r="O858" s="23"/>
      <c r="P858" s="23"/>
      <c r="Q858" s="23"/>
      <c r="R858" s="9"/>
      <c r="S858" s="34"/>
      <c r="T858" s="34"/>
    </row>
    <row r="859">
      <c r="B859" s="33"/>
      <c r="J859" s="25"/>
      <c r="K859" s="25"/>
      <c r="L859" s="8"/>
      <c r="N859" s="23"/>
      <c r="O859" s="23"/>
      <c r="P859" s="23"/>
      <c r="Q859" s="23"/>
      <c r="R859" s="9"/>
      <c r="S859" s="34"/>
      <c r="T859" s="34"/>
    </row>
    <row r="860">
      <c r="B860" s="33"/>
      <c r="J860" s="25"/>
      <c r="K860" s="25"/>
      <c r="L860" s="8"/>
      <c r="N860" s="23"/>
      <c r="O860" s="23"/>
      <c r="P860" s="23"/>
      <c r="Q860" s="23"/>
      <c r="R860" s="9"/>
      <c r="S860" s="34"/>
      <c r="T860" s="34"/>
    </row>
    <row r="861">
      <c r="B861" s="33"/>
      <c r="J861" s="25"/>
      <c r="K861" s="25"/>
      <c r="L861" s="8"/>
      <c r="N861" s="23"/>
      <c r="O861" s="23"/>
      <c r="P861" s="23"/>
      <c r="Q861" s="23"/>
      <c r="R861" s="9"/>
      <c r="S861" s="34"/>
      <c r="T861" s="34"/>
    </row>
    <row r="862">
      <c r="B862" s="33"/>
      <c r="J862" s="25"/>
      <c r="K862" s="25"/>
      <c r="L862" s="8"/>
      <c r="N862" s="23"/>
      <c r="O862" s="23"/>
      <c r="P862" s="23"/>
      <c r="Q862" s="23"/>
      <c r="R862" s="9"/>
      <c r="S862" s="34"/>
      <c r="T862" s="34"/>
    </row>
    <row r="863">
      <c r="B863" s="33"/>
      <c r="J863" s="25"/>
      <c r="K863" s="25"/>
      <c r="L863" s="8"/>
      <c r="N863" s="23"/>
      <c r="O863" s="23"/>
      <c r="P863" s="23"/>
      <c r="Q863" s="23"/>
      <c r="R863" s="9"/>
      <c r="S863" s="34"/>
      <c r="T863" s="34"/>
    </row>
    <row r="864">
      <c r="B864" s="33"/>
      <c r="J864" s="25"/>
      <c r="K864" s="25"/>
      <c r="L864" s="8"/>
      <c r="N864" s="23"/>
      <c r="O864" s="23"/>
      <c r="P864" s="23"/>
      <c r="Q864" s="23"/>
      <c r="R864" s="9"/>
      <c r="S864" s="34"/>
      <c r="T864" s="34"/>
    </row>
    <row r="865">
      <c r="B865" s="33"/>
      <c r="J865" s="25"/>
      <c r="K865" s="25"/>
      <c r="L865" s="8"/>
      <c r="N865" s="23"/>
      <c r="O865" s="23"/>
      <c r="P865" s="23"/>
      <c r="Q865" s="23"/>
      <c r="R865" s="9"/>
      <c r="S865" s="34"/>
      <c r="T865" s="34"/>
    </row>
    <row r="866">
      <c r="B866" s="33"/>
      <c r="J866" s="25"/>
      <c r="K866" s="25"/>
      <c r="L866" s="8"/>
      <c r="N866" s="23"/>
      <c r="O866" s="23"/>
      <c r="P866" s="23"/>
      <c r="Q866" s="23"/>
      <c r="R866" s="9"/>
      <c r="S866" s="34"/>
      <c r="T866" s="34"/>
    </row>
    <row r="867">
      <c r="B867" s="33"/>
      <c r="J867" s="25"/>
      <c r="K867" s="25"/>
      <c r="L867" s="8"/>
      <c r="N867" s="23"/>
      <c r="O867" s="23"/>
      <c r="P867" s="23"/>
      <c r="Q867" s="23"/>
      <c r="R867" s="9"/>
      <c r="S867" s="34"/>
      <c r="T867" s="34"/>
    </row>
    <row r="868">
      <c r="B868" s="33"/>
      <c r="J868" s="25"/>
      <c r="K868" s="25"/>
      <c r="L868" s="8"/>
      <c r="N868" s="23"/>
      <c r="O868" s="23"/>
      <c r="P868" s="23"/>
      <c r="Q868" s="23"/>
      <c r="R868" s="9"/>
      <c r="S868" s="34"/>
      <c r="T868" s="34"/>
    </row>
    <row r="869">
      <c r="B869" s="33"/>
      <c r="J869" s="25"/>
      <c r="K869" s="25"/>
      <c r="L869" s="8"/>
      <c r="N869" s="23"/>
      <c r="O869" s="23"/>
      <c r="P869" s="23"/>
      <c r="Q869" s="23"/>
      <c r="R869" s="9"/>
      <c r="S869" s="34"/>
      <c r="T869" s="34"/>
    </row>
    <row r="870">
      <c r="B870" s="33"/>
      <c r="J870" s="25"/>
      <c r="K870" s="25"/>
      <c r="L870" s="8"/>
      <c r="N870" s="23"/>
      <c r="O870" s="23"/>
      <c r="P870" s="23"/>
      <c r="Q870" s="23"/>
      <c r="R870" s="9"/>
      <c r="S870" s="34"/>
      <c r="T870" s="34"/>
    </row>
    <row r="871">
      <c r="B871" s="33"/>
      <c r="J871" s="25"/>
      <c r="K871" s="25"/>
      <c r="L871" s="8"/>
      <c r="N871" s="23"/>
      <c r="O871" s="23"/>
      <c r="P871" s="23"/>
      <c r="Q871" s="23"/>
      <c r="R871" s="9"/>
      <c r="S871" s="34"/>
      <c r="T871" s="34"/>
    </row>
    <row r="872">
      <c r="B872" s="33"/>
      <c r="J872" s="25"/>
      <c r="K872" s="25"/>
      <c r="L872" s="8"/>
      <c r="N872" s="23"/>
      <c r="O872" s="23"/>
      <c r="P872" s="23"/>
      <c r="Q872" s="23"/>
      <c r="R872" s="9"/>
      <c r="S872" s="34"/>
      <c r="T872" s="34"/>
    </row>
    <row r="873">
      <c r="B873" s="33"/>
      <c r="J873" s="25"/>
      <c r="K873" s="25"/>
      <c r="L873" s="8"/>
      <c r="N873" s="23"/>
      <c r="O873" s="23"/>
      <c r="P873" s="23"/>
      <c r="Q873" s="23"/>
      <c r="R873" s="9"/>
      <c r="S873" s="34"/>
      <c r="T873" s="34"/>
    </row>
    <row r="874">
      <c r="B874" s="33"/>
      <c r="J874" s="25"/>
      <c r="K874" s="25"/>
      <c r="L874" s="8"/>
      <c r="N874" s="23"/>
      <c r="O874" s="23"/>
      <c r="P874" s="23"/>
      <c r="Q874" s="23"/>
      <c r="R874" s="9"/>
      <c r="S874" s="34"/>
      <c r="T874" s="34"/>
    </row>
    <row r="875">
      <c r="B875" s="33"/>
      <c r="J875" s="25"/>
      <c r="K875" s="25"/>
      <c r="L875" s="8"/>
      <c r="N875" s="23"/>
      <c r="O875" s="23"/>
      <c r="P875" s="23"/>
      <c r="Q875" s="23"/>
      <c r="R875" s="9"/>
      <c r="S875" s="34"/>
      <c r="T875" s="34"/>
    </row>
    <row r="876">
      <c r="B876" s="33"/>
      <c r="J876" s="25"/>
      <c r="K876" s="25"/>
      <c r="L876" s="8"/>
      <c r="N876" s="23"/>
      <c r="O876" s="23"/>
      <c r="P876" s="23"/>
      <c r="Q876" s="23"/>
      <c r="R876" s="9"/>
      <c r="S876" s="34"/>
      <c r="T876" s="34"/>
    </row>
    <row r="877">
      <c r="B877" s="33"/>
      <c r="J877" s="25"/>
      <c r="K877" s="25"/>
      <c r="L877" s="8"/>
      <c r="N877" s="23"/>
      <c r="O877" s="23"/>
      <c r="P877" s="23"/>
      <c r="Q877" s="23"/>
      <c r="R877" s="9"/>
      <c r="S877" s="34"/>
      <c r="T877" s="34"/>
    </row>
    <row r="878">
      <c r="B878" s="33"/>
      <c r="J878" s="25"/>
      <c r="K878" s="25"/>
      <c r="L878" s="8"/>
      <c r="N878" s="23"/>
      <c r="O878" s="23"/>
      <c r="P878" s="23"/>
      <c r="Q878" s="23"/>
      <c r="R878" s="9"/>
      <c r="S878" s="34"/>
      <c r="T878" s="34"/>
    </row>
    <row r="879">
      <c r="B879" s="33"/>
      <c r="J879" s="25"/>
      <c r="K879" s="25"/>
      <c r="L879" s="8"/>
      <c r="N879" s="23"/>
      <c r="O879" s="23"/>
      <c r="P879" s="23"/>
      <c r="Q879" s="23"/>
      <c r="R879" s="9"/>
      <c r="S879" s="34"/>
      <c r="T879" s="34"/>
    </row>
    <row r="880">
      <c r="B880" s="33"/>
      <c r="J880" s="25"/>
      <c r="K880" s="25"/>
      <c r="L880" s="8"/>
      <c r="N880" s="23"/>
      <c r="O880" s="23"/>
      <c r="P880" s="23"/>
      <c r="Q880" s="23"/>
      <c r="R880" s="9"/>
      <c r="S880" s="34"/>
      <c r="T880" s="34"/>
    </row>
    <row r="881">
      <c r="B881" s="33"/>
      <c r="J881" s="25"/>
      <c r="K881" s="25"/>
      <c r="L881" s="8"/>
      <c r="N881" s="23"/>
      <c r="O881" s="23"/>
      <c r="P881" s="23"/>
      <c r="Q881" s="23"/>
      <c r="R881" s="9"/>
      <c r="S881" s="34"/>
      <c r="T881" s="34"/>
    </row>
    <row r="882">
      <c r="B882" s="33"/>
      <c r="J882" s="25"/>
      <c r="K882" s="25"/>
      <c r="L882" s="8"/>
      <c r="N882" s="23"/>
      <c r="O882" s="23"/>
      <c r="P882" s="23"/>
      <c r="Q882" s="23"/>
      <c r="R882" s="9"/>
      <c r="S882" s="34"/>
      <c r="T882" s="34"/>
    </row>
    <row r="883">
      <c r="B883" s="33"/>
      <c r="J883" s="25"/>
      <c r="K883" s="25"/>
      <c r="L883" s="8"/>
      <c r="N883" s="23"/>
      <c r="O883" s="23"/>
      <c r="P883" s="23"/>
      <c r="Q883" s="23"/>
      <c r="R883" s="9"/>
      <c r="S883" s="34"/>
      <c r="T883" s="34"/>
    </row>
    <row r="884">
      <c r="B884" s="33"/>
      <c r="J884" s="25"/>
      <c r="K884" s="25"/>
      <c r="L884" s="8"/>
      <c r="N884" s="23"/>
      <c r="O884" s="23"/>
      <c r="P884" s="23"/>
      <c r="Q884" s="23"/>
      <c r="R884" s="9"/>
      <c r="S884" s="34"/>
      <c r="T884" s="34"/>
    </row>
    <row r="885">
      <c r="B885" s="33"/>
      <c r="J885" s="25"/>
      <c r="K885" s="25"/>
      <c r="L885" s="8"/>
      <c r="N885" s="23"/>
      <c r="O885" s="23"/>
      <c r="P885" s="23"/>
      <c r="Q885" s="23"/>
      <c r="R885" s="9"/>
      <c r="S885" s="34"/>
      <c r="T885" s="34"/>
    </row>
    <row r="886">
      <c r="B886" s="33"/>
      <c r="J886" s="25"/>
      <c r="K886" s="25"/>
      <c r="L886" s="8"/>
      <c r="N886" s="23"/>
      <c r="O886" s="23"/>
      <c r="P886" s="23"/>
      <c r="Q886" s="23"/>
      <c r="R886" s="9"/>
      <c r="S886" s="34"/>
      <c r="T886" s="34"/>
    </row>
    <row r="887">
      <c r="B887" s="33"/>
      <c r="J887" s="25"/>
      <c r="K887" s="25"/>
      <c r="L887" s="8"/>
      <c r="N887" s="23"/>
      <c r="O887" s="23"/>
      <c r="P887" s="23"/>
      <c r="Q887" s="23"/>
      <c r="R887" s="9"/>
      <c r="S887" s="34"/>
      <c r="T887" s="34"/>
    </row>
    <row r="888">
      <c r="B888" s="33"/>
      <c r="J888" s="25"/>
      <c r="K888" s="25"/>
      <c r="L888" s="8"/>
      <c r="N888" s="23"/>
      <c r="O888" s="23"/>
      <c r="P888" s="23"/>
      <c r="Q888" s="23"/>
      <c r="R888" s="9"/>
      <c r="S888" s="34"/>
      <c r="T888" s="34"/>
    </row>
    <row r="889">
      <c r="B889" s="33"/>
      <c r="J889" s="25"/>
      <c r="K889" s="25"/>
      <c r="L889" s="8"/>
      <c r="N889" s="23"/>
      <c r="O889" s="23"/>
      <c r="P889" s="23"/>
      <c r="Q889" s="23"/>
      <c r="R889" s="9"/>
      <c r="S889" s="34"/>
      <c r="T889" s="34"/>
    </row>
    <row r="890">
      <c r="B890" s="33"/>
      <c r="J890" s="25"/>
      <c r="K890" s="25"/>
      <c r="L890" s="8"/>
      <c r="N890" s="23"/>
      <c r="O890" s="23"/>
      <c r="P890" s="23"/>
      <c r="Q890" s="23"/>
      <c r="R890" s="9"/>
      <c r="S890" s="34"/>
      <c r="T890" s="34"/>
    </row>
    <row r="891">
      <c r="B891" s="33"/>
      <c r="J891" s="25"/>
      <c r="K891" s="25"/>
      <c r="L891" s="8"/>
      <c r="N891" s="23"/>
      <c r="O891" s="23"/>
      <c r="P891" s="23"/>
      <c r="Q891" s="23"/>
      <c r="R891" s="9"/>
      <c r="S891" s="34"/>
      <c r="T891" s="34"/>
    </row>
    <row r="892">
      <c r="B892" s="33"/>
      <c r="J892" s="25"/>
      <c r="K892" s="25"/>
      <c r="L892" s="8"/>
      <c r="N892" s="23"/>
      <c r="O892" s="23"/>
      <c r="P892" s="23"/>
      <c r="Q892" s="23"/>
      <c r="R892" s="9"/>
      <c r="S892" s="34"/>
      <c r="T892" s="34"/>
    </row>
    <row r="893">
      <c r="B893" s="33"/>
      <c r="J893" s="25"/>
      <c r="K893" s="25"/>
      <c r="L893" s="8"/>
      <c r="N893" s="23"/>
      <c r="O893" s="23"/>
      <c r="P893" s="23"/>
      <c r="Q893" s="23"/>
      <c r="R893" s="9"/>
      <c r="S893" s="34"/>
      <c r="T893" s="34"/>
    </row>
    <row r="894">
      <c r="B894" s="33"/>
      <c r="J894" s="25"/>
      <c r="K894" s="25"/>
      <c r="L894" s="8"/>
      <c r="N894" s="23"/>
      <c r="O894" s="23"/>
      <c r="P894" s="23"/>
      <c r="Q894" s="23"/>
      <c r="R894" s="9"/>
      <c r="S894" s="34"/>
      <c r="T894" s="34"/>
    </row>
    <row r="895">
      <c r="B895" s="33"/>
      <c r="J895" s="25"/>
      <c r="K895" s="25"/>
      <c r="L895" s="8"/>
      <c r="N895" s="23"/>
      <c r="O895" s="23"/>
      <c r="P895" s="23"/>
      <c r="Q895" s="23"/>
      <c r="R895" s="9"/>
      <c r="S895" s="34"/>
      <c r="T895" s="34"/>
    </row>
    <row r="896">
      <c r="B896" s="33"/>
      <c r="J896" s="25"/>
      <c r="K896" s="25"/>
      <c r="L896" s="8"/>
      <c r="N896" s="23"/>
      <c r="O896" s="23"/>
      <c r="P896" s="23"/>
      <c r="Q896" s="23"/>
      <c r="R896" s="9"/>
      <c r="S896" s="34"/>
      <c r="T896" s="34"/>
    </row>
    <row r="897">
      <c r="B897" s="33"/>
      <c r="J897" s="25"/>
      <c r="K897" s="25"/>
      <c r="L897" s="8"/>
      <c r="N897" s="23"/>
      <c r="O897" s="23"/>
      <c r="P897" s="23"/>
      <c r="Q897" s="23"/>
      <c r="R897" s="9"/>
      <c r="S897" s="34"/>
      <c r="T897" s="34"/>
    </row>
    <row r="898">
      <c r="B898" s="33"/>
      <c r="J898" s="25"/>
      <c r="K898" s="25"/>
      <c r="L898" s="8"/>
      <c r="N898" s="23"/>
      <c r="O898" s="23"/>
      <c r="P898" s="23"/>
      <c r="Q898" s="23"/>
      <c r="R898" s="9"/>
      <c r="S898" s="34"/>
      <c r="T898" s="34"/>
    </row>
    <row r="899">
      <c r="B899" s="33"/>
      <c r="J899" s="25"/>
      <c r="K899" s="25"/>
      <c r="L899" s="8"/>
      <c r="N899" s="23"/>
      <c r="O899" s="23"/>
      <c r="P899" s="23"/>
      <c r="Q899" s="23"/>
      <c r="R899" s="9"/>
      <c r="S899" s="34"/>
      <c r="T899" s="34"/>
    </row>
    <row r="900">
      <c r="B900" s="33"/>
      <c r="J900" s="25"/>
      <c r="K900" s="25"/>
      <c r="L900" s="8"/>
      <c r="N900" s="23"/>
      <c r="O900" s="23"/>
      <c r="P900" s="23"/>
      <c r="Q900" s="23"/>
      <c r="R900" s="9"/>
      <c r="S900" s="34"/>
      <c r="T900" s="34"/>
    </row>
    <row r="901">
      <c r="B901" s="33"/>
      <c r="J901" s="25"/>
      <c r="K901" s="25"/>
      <c r="L901" s="8"/>
      <c r="N901" s="23"/>
      <c r="O901" s="23"/>
      <c r="P901" s="23"/>
      <c r="Q901" s="23"/>
      <c r="R901" s="9"/>
      <c r="S901" s="34"/>
      <c r="T901" s="34"/>
    </row>
    <row r="902">
      <c r="B902" s="33"/>
      <c r="J902" s="25"/>
      <c r="K902" s="25"/>
      <c r="L902" s="8"/>
      <c r="N902" s="23"/>
      <c r="O902" s="23"/>
      <c r="P902" s="23"/>
      <c r="Q902" s="23"/>
      <c r="R902" s="9"/>
      <c r="S902" s="34"/>
      <c r="T902" s="34"/>
    </row>
    <row r="903">
      <c r="B903" s="33"/>
      <c r="J903" s="25"/>
      <c r="K903" s="25"/>
      <c r="L903" s="8"/>
      <c r="N903" s="23"/>
      <c r="O903" s="23"/>
      <c r="P903" s="23"/>
      <c r="Q903" s="23"/>
      <c r="R903" s="9"/>
      <c r="S903" s="34"/>
      <c r="T903" s="34"/>
    </row>
    <row r="904">
      <c r="B904" s="33"/>
      <c r="J904" s="25"/>
      <c r="K904" s="25"/>
      <c r="L904" s="8"/>
      <c r="N904" s="23"/>
      <c r="O904" s="23"/>
      <c r="P904" s="23"/>
      <c r="Q904" s="23"/>
      <c r="R904" s="9"/>
      <c r="S904" s="34"/>
      <c r="T904" s="34"/>
    </row>
    <row r="905">
      <c r="B905" s="33"/>
      <c r="J905" s="25"/>
      <c r="K905" s="25"/>
      <c r="L905" s="8"/>
      <c r="N905" s="23"/>
      <c r="O905" s="23"/>
      <c r="P905" s="23"/>
      <c r="Q905" s="23"/>
      <c r="R905" s="9"/>
      <c r="S905" s="34"/>
      <c r="T905" s="34"/>
    </row>
    <row r="906">
      <c r="B906" s="33"/>
      <c r="J906" s="25"/>
      <c r="K906" s="25"/>
      <c r="L906" s="8"/>
      <c r="N906" s="23"/>
      <c r="O906" s="23"/>
      <c r="P906" s="23"/>
      <c r="Q906" s="23"/>
      <c r="R906" s="9"/>
      <c r="S906" s="34"/>
      <c r="T906" s="34"/>
    </row>
    <row r="907">
      <c r="B907" s="33"/>
      <c r="J907" s="25"/>
      <c r="K907" s="25"/>
      <c r="L907" s="8"/>
      <c r="N907" s="23"/>
      <c r="O907" s="23"/>
      <c r="P907" s="23"/>
      <c r="Q907" s="23"/>
      <c r="R907" s="9"/>
      <c r="S907" s="34"/>
      <c r="T907" s="34"/>
    </row>
    <row r="908">
      <c r="B908" s="33"/>
      <c r="J908" s="25"/>
      <c r="K908" s="25"/>
      <c r="L908" s="8"/>
      <c r="N908" s="23"/>
      <c r="O908" s="23"/>
      <c r="P908" s="23"/>
      <c r="Q908" s="23"/>
      <c r="R908" s="9"/>
      <c r="S908" s="34"/>
      <c r="T908" s="34"/>
    </row>
    <row r="909">
      <c r="B909" s="33"/>
      <c r="J909" s="25"/>
      <c r="K909" s="25"/>
      <c r="L909" s="8"/>
      <c r="N909" s="23"/>
      <c r="O909" s="23"/>
      <c r="P909" s="23"/>
      <c r="Q909" s="23"/>
      <c r="R909" s="9"/>
      <c r="S909" s="34"/>
      <c r="T909" s="34"/>
    </row>
    <row r="910">
      <c r="B910" s="33"/>
      <c r="J910" s="25"/>
      <c r="K910" s="25"/>
      <c r="L910" s="8"/>
      <c r="N910" s="23"/>
      <c r="O910" s="23"/>
      <c r="P910" s="23"/>
      <c r="Q910" s="23"/>
      <c r="R910" s="9"/>
      <c r="S910" s="34"/>
      <c r="T910" s="34"/>
    </row>
    <row r="911">
      <c r="B911" s="33"/>
      <c r="J911" s="25"/>
      <c r="K911" s="25"/>
      <c r="L911" s="8"/>
      <c r="N911" s="23"/>
      <c r="O911" s="23"/>
      <c r="P911" s="23"/>
      <c r="Q911" s="23"/>
      <c r="R911" s="9"/>
      <c r="S911" s="34"/>
      <c r="T911" s="34"/>
    </row>
    <row r="912">
      <c r="B912" s="33"/>
      <c r="J912" s="25"/>
      <c r="K912" s="25"/>
      <c r="L912" s="8"/>
      <c r="N912" s="23"/>
      <c r="O912" s="23"/>
      <c r="P912" s="23"/>
      <c r="Q912" s="23"/>
      <c r="R912" s="9"/>
      <c r="S912" s="34"/>
      <c r="T912" s="34"/>
    </row>
    <row r="913">
      <c r="B913" s="33"/>
      <c r="J913" s="25"/>
      <c r="K913" s="25"/>
      <c r="L913" s="8"/>
      <c r="N913" s="23"/>
      <c r="O913" s="23"/>
      <c r="P913" s="23"/>
      <c r="Q913" s="23"/>
      <c r="R913" s="9"/>
      <c r="S913" s="34"/>
      <c r="T913" s="34"/>
    </row>
    <row r="914">
      <c r="B914" s="33"/>
      <c r="J914" s="25"/>
      <c r="K914" s="25"/>
      <c r="L914" s="8"/>
      <c r="N914" s="23"/>
      <c r="O914" s="23"/>
      <c r="P914" s="23"/>
      <c r="Q914" s="23"/>
      <c r="R914" s="9"/>
      <c r="S914" s="34"/>
      <c r="T914" s="34"/>
    </row>
    <row r="915">
      <c r="B915" s="33"/>
      <c r="J915" s="25"/>
      <c r="K915" s="25"/>
      <c r="L915" s="8"/>
      <c r="N915" s="23"/>
      <c r="O915" s="23"/>
      <c r="P915" s="23"/>
      <c r="Q915" s="23"/>
      <c r="R915" s="9"/>
      <c r="S915" s="34"/>
      <c r="T915" s="34"/>
    </row>
    <row r="916">
      <c r="B916" s="33"/>
      <c r="J916" s="25"/>
      <c r="K916" s="25"/>
      <c r="L916" s="8"/>
      <c r="N916" s="23"/>
      <c r="O916" s="23"/>
      <c r="P916" s="23"/>
      <c r="Q916" s="23"/>
      <c r="R916" s="9"/>
      <c r="S916" s="34"/>
      <c r="T916" s="34"/>
    </row>
    <row r="917">
      <c r="B917" s="33"/>
      <c r="J917" s="25"/>
      <c r="K917" s="25"/>
      <c r="L917" s="8"/>
      <c r="N917" s="23"/>
      <c r="O917" s="23"/>
      <c r="P917" s="23"/>
      <c r="Q917" s="23"/>
      <c r="R917" s="9"/>
      <c r="S917" s="34"/>
      <c r="T917" s="34"/>
    </row>
    <row r="918">
      <c r="B918" s="33"/>
      <c r="J918" s="25"/>
      <c r="K918" s="25"/>
      <c r="L918" s="8"/>
      <c r="N918" s="23"/>
      <c r="O918" s="23"/>
      <c r="P918" s="23"/>
      <c r="Q918" s="23"/>
      <c r="R918" s="9"/>
      <c r="S918" s="34"/>
      <c r="T918" s="34"/>
    </row>
    <row r="919">
      <c r="B919" s="33"/>
      <c r="J919" s="25"/>
      <c r="K919" s="25"/>
      <c r="L919" s="8"/>
      <c r="N919" s="23"/>
      <c r="O919" s="23"/>
      <c r="P919" s="23"/>
      <c r="Q919" s="23"/>
      <c r="R919" s="9"/>
      <c r="S919" s="34"/>
      <c r="T919" s="34"/>
    </row>
    <row r="920">
      <c r="B920" s="33"/>
      <c r="J920" s="25"/>
      <c r="K920" s="25"/>
      <c r="L920" s="8"/>
      <c r="N920" s="23"/>
      <c r="O920" s="23"/>
      <c r="P920" s="23"/>
      <c r="Q920" s="23"/>
      <c r="R920" s="9"/>
      <c r="S920" s="34"/>
      <c r="T920" s="34"/>
    </row>
    <row r="921">
      <c r="B921" s="33"/>
      <c r="J921" s="25"/>
      <c r="K921" s="25"/>
      <c r="L921" s="8"/>
      <c r="N921" s="23"/>
      <c r="O921" s="23"/>
      <c r="P921" s="23"/>
      <c r="Q921" s="23"/>
      <c r="R921" s="9"/>
      <c r="S921" s="34"/>
      <c r="T921" s="34"/>
    </row>
    <row r="922">
      <c r="B922" s="33"/>
      <c r="J922" s="25"/>
      <c r="K922" s="25"/>
      <c r="L922" s="8"/>
      <c r="N922" s="23"/>
      <c r="O922" s="23"/>
      <c r="P922" s="23"/>
      <c r="Q922" s="23"/>
      <c r="R922" s="9"/>
      <c r="S922" s="34"/>
      <c r="T922" s="34"/>
    </row>
    <row r="923">
      <c r="B923" s="33"/>
      <c r="J923" s="25"/>
      <c r="K923" s="25"/>
      <c r="L923" s="8"/>
      <c r="N923" s="23"/>
      <c r="O923" s="23"/>
      <c r="P923" s="23"/>
      <c r="Q923" s="23"/>
      <c r="R923" s="9"/>
      <c r="S923" s="34"/>
      <c r="T923" s="34"/>
    </row>
    <row r="924">
      <c r="B924" s="33"/>
      <c r="J924" s="25"/>
      <c r="K924" s="25"/>
      <c r="L924" s="8"/>
      <c r="N924" s="23"/>
      <c r="O924" s="23"/>
      <c r="P924" s="23"/>
      <c r="Q924" s="23"/>
      <c r="R924" s="9"/>
      <c r="S924" s="34"/>
      <c r="T924" s="34"/>
    </row>
    <row r="925">
      <c r="B925" s="33"/>
      <c r="J925" s="25"/>
      <c r="K925" s="25"/>
      <c r="L925" s="8"/>
      <c r="N925" s="23"/>
      <c r="O925" s="23"/>
      <c r="P925" s="23"/>
      <c r="Q925" s="23"/>
      <c r="R925" s="9"/>
      <c r="S925" s="34"/>
      <c r="T925" s="34"/>
    </row>
    <row r="926">
      <c r="B926" s="33"/>
      <c r="J926" s="25"/>
      <c r="K926" s="25"/>
      <c r="L926" s="8"/>
      <c r="N926" s="23"/>
      <c r="O926" s="23"/>
      <c r="P926" s="23"/>
      <c r="Q926" s="23"/>
      <c r="R926" s="9"/>
      <c r="S926" s="34"/>
      <c r="T926" s="34"/>
    </row>
    <row r="927">
      <c r="B927" s="33"/>
      <c r="J927" s="25"/>
      <c r="K927" s="25"/>
      <c r="L927" s="8"/>
      <c r="N927" s="23"/>
      <c r="O927" s="23"/>
      <c r="P927" s="23"/>
      <c r="Q927" s="23"/>
      <c r="R927" s="9"/>
      <c r="S927" s="34"/>
      <c r="T927" s="34"/>
    </row>
    <row r="928">
      <c r="B928" s="33"/>
      <c r="J928" s="25"/>
      <c r="K928" s="25"/>
      <c r="L928" s="8"/>
      <c r="N928" s="23"/>
      <c r="O928" s="23"/>
      <c r="P928" s="23"/>
      <c r="Q928" s="23"/>
      <c r="R928" s="9"/>
      <c r="S928" s="34"/>
      <c r="T928" s="34"/>
    </row>
    <row r="929">
      <c r="B929" s="33"/>
      <c r="J929" s="25"/>
      <c r="K929" s="25"/>
      <c r="L929" s="8"/>
      <c r="N929" s="23"/>
      <c r="O929" s="23"/>
      <c r="P929" s="23"/>
      <c r="Q929" s="23"/>
      <c r="R929" s="9"/>
      <c r="S929" s="34"/>
      <c r="T929" s="34"/>
    </row>
    <row r="930">
      <c r="B930" s="33"/>
      <c r="J930" s="25"/>
      <c r="K930" s="25"/>
      <c r="L930" s="8"/>
      <c r="N930" s="23"/>
      <c r="O930" s="23"/>
      <c r="P930" s="23"/>
      <c r="Q930" s="23"/>
      <c r="R930" s="9"/>
      <c r="S930" s="34"/>
      <c r="T930" s="34"/>
    </row>
    <row r="931">
      <c r="B931" s="33"/>
      <c r="J931" s="25"/>
      <c r="K931" s="25"/>
      <c r="L931" s="8"/>
      <c r="N931" s="23"/>
      <c r="O931" s="23"/>
      <c r="P931" s="23"/>
      <c r="Q931" s="23"/>
      <c r="R931" s="9"/>
      <c r="S931" s="34"/>
      <c r="T931" s="34"/>
    </row>
    <row r="932">
      <c r="B932" s="33"/>
      <c r="J932" s="25"/>
      <c r="K932" s="25"/>
      <c r="L932" s="8"/>
      <c r="N932" s="23"/>
      <c r="O932" s="23"/>
      <c r="P932" s="23"/>
      <c r="Q932" s="23"/>
      <c r="R932" s="9"/>
      <c r="S932" s="34"/>
      <c r="T932" s="34"/>
    </row>
    <row r="933">
      <c r="B933" s="33"/>
      <c r="J933" s="25"/>
      <c r="K933" s="25"/>
      <c r="L933" s="8"/>
      <c r="N933" s="23"/>
      <c r="O933" s="23"/>
      <c r="P933" s="23"/>
      <c r="Q933" s="23"/>
      <c r="R933" s="9"/>
      <c r="S933" s="34"/>
      <c r="T933" s="34"/>
    </row>
    <row r="934">
      <c r="B934" s="33"/>
      <c r="J934" s="25"/>
      <c r="K934" s="25"/>
      <c r="L934" s="8"/>
      <c r="N934" s="23"/>
      <c r="O934" s="23"/>
      <c r="P934" s="23"/>
      <c r="Q934" s="23"/>
      <c r="R934" s="9"/>
      <c r="S934" s="34"/>
      <c r="T934" s="34"/>
    </row>
    <row r="935">
      <c r="B935" s="33"/>
      <c r="J935" s="25"/>
      <c r="K935" s="25"/>
      <c r="L935" s="8"/>
      <c r="N935" s="23"/>
      <c r="O935" s="23"/>
      <c r="P935" s="23"/>
      <c r="Q935" s="23"/>
      <c r="R935" s="9"/>
      <c r="S935" s="34"/>
      <c r="T935" s="34"/>
    </row>
    <row r="936">
      <c r="B936" s="33"/>
      <c r="J936" s="25"/>
      <c r="K936" s="25"/>
      <c r="L936" s="8"/>
      <c r="N936" s="23"/>
      <c r="O936" s="23"/>
      <c r="P936" s="23"/>
      <c r="Q936" s="23"/>
      <c r="R936" s="9"/>
      <c r="S936" s="34"/>
      <c r="T936" s="34"/>
    </row>
    <row r="937">
      <c r="B937" s="33"/>
      <c r="J937" s="25"/>
      <c r="K937" s="25"/>
      <c r="L937" s="8"/>
      <c r="N937" s="23"/>
      <c r="O937" s="23"/>
      <c r="P937" s="23"/>
      <c r="Q937" s="23"/>
      <c r="R937" s="9"/>
      <c r="S937" s="34"/>
      <c r="T937" s="34"/>
    </row>
    <row r="938">
      <c r="B938" s="33"/>
      <c r="J938" s="25"/>
      <c r="K938" s="25"/>
      <c r="L938" s="8"/>
      <c r="N938" s="23"/>
      <c r="O938" s="23"/>
      <c r="P938" s="23"/>
      <c r="Q938" s="23"/>
      <c r="R938" s="9"/>
      <c r="S938" s="34"/>
      <c r="T938" s="34"/>
    </row>
    <row r="939">
      <c r="B939" s="33"/>
      <c r="J939" s="25"/>
      <c r="K939" s="25"/>
      <c r="L939" s="8"/>
      <c r="N939" s="23"/>
      <c r="O939" s="23"/>
      <c r="P939" s="23"/>
      <c r="Q939" s="23"/>
      <c r="R939" s="9"/>
      <c r="S939" s="34"/>
      <c r="T939" s="34"/>
    </row>
    <row r="940">
      <c r="B940" s="33"/>
      <c r="J940" s="25"/>
      <c r="K940" s="25"/>
      <c r="L940" s="8"/>
      <c r="N940" s="23"/>
      <c r="O940" s="23"/>
      <c r="P940" s="23"/>
      <c r="Q940" s="23"/>
      <c r="R940" s="9"/>
      <c r="S940" s="34"/>
      <c r="T940" s="34"/>
    </row>
    <row r="941">
      <c r="B941" s="33"/>
      <c r="J941" s="25"/>
      <c r="K941" s="25"/>
      <c r="L941" s="8"/>
      <c r="N941" s="23"/>
      <c r="O941" s="23"/>
      <c r="P941" s="23"/>
      <c r="Q941" s="23"/>
      <c r="R941" s="9"/>
      <c r="S941" s="34"/>
      <c r="T941" s="34"/>
    </row>
    <row r="942">
      <c r="B942" s="33"/>
      <c r="J942" s="25"/>
      <c r="K942" s="25"/>
      <c r="L942" s="8"/>
      <c r="N942" s="23"/>
      <c r="O942" s="23"/>
      <c r="P942" s="23"/>
      <c r="Q942" s="23"/>
      <c r="R942" s="9"/>
      <c r="S942" s="34"/>
      <c r="T942" s="34"/>
    </row>
    <row r="943">
      <c r="B943" s="33"/>
      <c r="J943" s="25"/>
      <c r="K943" s="25"/>
      <c r="L943" s="8"/>
      <c r="N943" s="23"/>
      <c r="O943" s="23"/>
      <c r="P943" s="23"/>
      <c r="Q943" s="23"/>
      <c r="R943" s="9"/>
      <c r="S943" s="34"/>
      <c r="T943" s="34"/>
    </row>
    <row r="944">
      <c r="B944" s="33"/>
      <c r="J944" s="25"/>
      <c r="K944" s="25"/>
      <c r="L944" s="8"/>
      <c r="N944" s="23"/>
      <c r="O944" s="23"/>
      <c r="P944" s="23"/>
      <c r="Q944" s="23"/>
      <c r="R944" s="9"/>
      <c r="S944" s="34"/>
      <c r="T944" s="34"/>
    </row>
    <row r="945">
      <c r="B945" s="33"/>
      <c r="J945" s="25"/>
      <c r="K945" s="25"/>
      <c r="L945" s="8"/>
      <c r="N945" s="23"/>
      <c r="O945" s="23"/>
      <c r="P945" s="23"/>
      <c r="Q945" s="23"/>
      <c r="R945" s="9"/>
      <c r="S945" s="34"/>
      <c r="T945" s="34"/>
    </row>
    <row r="946">
      <c r="B946" s="33"/>
      <c r="J946" s="25"/>
      <c r="K946" s="25"/>
      <c r="L946" s="8"/>
      <c r="N946" s="23"/>
      <c r="O946" s="23"/>
      <c r="P946" s="23"/>
      <c r="Q946" s="23"/>
      <c r="R946" s="9"/>
      <c r="S946" s="34"/>
      <c r="T946" s="34"/>
    </row>
    <row r="947">
      <c r="B947" s="33"/>
      <c r="J947" s="25"/>
      <c r="K947" s="25"/>
      <c r="L947" s="8"/>
      <c r="N947" s="23"/>
      <c r="O947" s="23"/>
      <c r="P947" s="23"/>
      <c r="Q947" s="23"/>
      <c r="R947" s="9"/>
      <c r="S947" s="34"/>
      <c r="T947" s="34"/>
    </row>
    <row r="948">
      <c r="B948" s="33"/>
      <c r="J948" s="25"/>
      <c r="K948" s="25"/>
      <c r="L948" s="8"/>
      <c r="N948" s="23"/>
      <c r="O948" s="23"/>
      <c r="P948" s="23"/>
      <c r="Q948" s="23"/>
      <c r="R948" s="9"/>
      <c r="S948" s="34"/>
      <c r="T948" s="34"/>
    </row>
    <row r="949">
      <c r="B949" s="33"/>
      <c r="J949" s="25"/>
      <c r="K949" s="25"/>
      <c r="L949" s="8"/>
      <c r="N949" s="23"/>
      <c r="O949" s="23"/>
      <c r="P949" s="23"/>
      <c r="Q949" s="23"/>
      <c r="R949" s="9"/>
      <c r="S949" s="34"/>
      <c r="T949" s="34"/>
    </row>
    <row r="950">
      <c r="B950" s="33"/>
      <c r="J950" s="25"/>
      <c r="K950" s="25"/>
      <c r="L950" s="8"/>
      <c r="N950" s="23"/>
      <c r="O950" s="23"/>
      <c r="P950" s="23"/>
      <c r="Q950" s="23"/>
      <c r="R950" s="9"/>
      <c r="S950" s="34"/>
      <c r="T950" s="34"/>
    </row>
    <row r="951">
      <c r="B951" s="33"/>
      <c r="J951" s="25"/>
      <c r="K951" s="25"/>
      <c r="L951" s="8"/>
      <c r="N951" s="23"/>
      <c r="O951" s="23"/>
      <c r="P951" s="23"/>
      <c r="Q951" s="23"/>
      <c r="R951" s="9"/>
      <c r="S951" s="34"/>
      <c r="T951" s="34"/>
    </row>
    <row r="952">
      <c r="B952" s="33"/>
      <c r="J952" s="25"/>
      <c r="K952" s="25"/>
      <c r="L952" s="8"/>
      <c r="N952" s="23"/>
      <c r="O952" s="23"/>
      <c r="P952" s="23"/>
      <c r="Q952" s="23"/>
      <c r="R952" s="9"/>
      <c r="S952" s="34"/>
      <c r="T952" s="34"/>
    </row>
    <row r="953">
      <c r="B953" s="33"/>
      <c r="J953" s="25"/>
      <c r="K953" s="25"/>
      <c r="L953" s="8"/>
      <c r="N953" s="23"/>
      <c r="O953" s="23"/>
      <c r="P953" s="23"/>
      <c r="Q953" s="23"/>
      <c r="R953" s="9"/>
      <c r="S953" s="34"/>
      <c r="T953" s="34"/>
    </row>
    <row r="954">
      <c r="B954" s="33"/>
      <c r="J954" s="25"/>
      <c r="K954" s="25"/>
      <c r="L954" s="8"/>
      <c r="N954" s="23"/>
      <c r="O954" s="23"/>
      <c r="P954" s="23"/>
      <c r="Q954" s="23"/>
      <c r="R954" s="9"/>
      <c r="S954" s="34"/>
      <c r="T954" s="34"/>
    </row>
    <row r="955">
      <c r="B955" s="33"/>
      <c r="J955" s="25"/>
      <c r="K955" s="25"/>
      <c r="L955" s="8"/>
      <c r="N955" s="23"/>
      <c r="O955" s="23"/>
      <c r="P955" s="23"/>
      <c r="Q955" s="23"/>
      <c r="R955" s="9"/>
      <c r="S955" s="34"/>
      <c r="T955" s="34"/>
    </row>
    <row r="956">
      <c r="B956" s="33"/>
      <c r="J956" s="25"/>
      <c r="K956" s="25"/>
      <c r="L956" s="8"/>
      <c r="N956" s="23"/>
      <c r="O956" s="23"/>
      <c r="P956" s="23"/>
      <c r="Q956" s="23"/>
      <c r="R956" s="9"/>
      <c r="S956" s="34"/>
      <c r="T956" s="34"/>
    </row>
    <row r="957">
      <c r="B957" s="33"/>
      <c r="J957" s="25"/>
      <c r="K957" s="25"/>
      <c r="L957" s="8"/>
      <c r="N957" s="23"/>
      <c r="O957" s="23"/>
      <c r="P957" s="23"/>
      <c r="Q957" s="23"/>
      <c r="R957" s="9"/>
      <c r="S957" s="34"/>
      <c r="T957" s="34"/>
    </row>
    <row r="958">
      <c r="B958" s="33"/>
      <c r="J958" s="25"/>
      <c r="K958" s="25"/>
      <c r="L958" s="8"/>
      <c r="N958" s="23"/>
      <c r="O958" s="23"/>
      <c r="P958" s="23"/>
      <c r="Q958" s="23"/>
      <c r="R958" s="9"/>
      <c r="S958" s="34"/>
      <c r="T958" s="34"/>
    </row>
    <row r="959">
      <c r="B959" s="33"/>
      <c r="J959" s="25"/>
      <c r="K959" s="25"/>
      <c r="L959" s="8"/>
      <c r="N959" s="23"/>
      <c r="O959" s="23"/>
      <c r="P959" s="23"/>
      <c r="Q959" s="23"/>
      <c r="R959" s="9"/>
      <c r="S959" s="34"/>
      <c r="T959" s="34"/>
    </row>
    <row r="960">
      <c r="B960" s="33"/>
      <c r="J960" s="25"/>
      <c r="K960" s="25"/>
      <c r="L960" s="8"/>
      <c r="N960" s="23"/>
      <c r="O960" s="23"/>
      <c r="P960" s="23"/>
      <c r="Q960" s="23"/>
      <c r="R960" s="9"/>
      <c r="S960" s="34"/>
      <c r="T960" s="34"/>
    </row>
    <row r="961">
      <c r="B961" s="33"/>
      <c r="J961" s="25"/>
      <c r="K961" s="25"/>
      <c r="L961" s="8"/>
      <c r="N961" s="23"/>
      <c r="O961" s="23"/>
      <c r="P961" s="23"/>
      <c r="Q961" s="23"/>
      <c r="R961" s="9"/>
      <c r="S961" s="34"/>
      <c r="T961" s="34"/>
    </row>
    <row r="962">
      <c r="B962" s="33"/>
      <c r="J962" s="25"/>
      <c r="K962" s="25"/>
      <c r="L962" s="8"/>
      <c r="N962" s="23"/>
      <c r="O962" s="23"/>
      <c r="P962" s="23"/>
      <c r="Q962" s="23"/>
      <c r="R962" s="9"/>
      <c r="S962" s="34"/>
      <c r="T962" s="34"/>
    </row>
    <row r="963">
      <c r="B963" s="33"/>
      <c r="J963" s="25"/>
      <c r="K963" s="25"/>
      <c r="L963" s="8"/>
      <c r="N963" s="23"/>
      <c r="O963" s="23"/>
      <c r="P963" s="23"/>
      <c r="Q963" s="23"/>
      <c r="R963" s="9"/>
      <c r="S963" s="34"/>
      <c r="T963" s="34"/>
    </row>
    <row r="964">
      <c r="B964" s="33"/>
      <c r="J964" s="25"/>
      <c r="K964" s="25"/>
      <c r="L964" s="8"/>
      <c r="N964" s="23"/>
      <c r="O964" s="23"/>
      <c r="P964" s="23"/>
      <c r="Q964" s="23"/>
      <c r="R964" s="9"/>
      <c r="S964" s="34"/>
      <c r="T964" s="34"/>
    </row>
    <row r="965">
      <c r="B965" s="33"/>
      <c r="J965" s="25"/>
      <c r="K965" s="25"/>
      <c r="L965" s="8"/>
      <c r="N965" s="23"/>
      <c r="O965" s="23"/>
      <c r="P965" s="23"/>
      <c r="Q965" s="23"/>
      <c r="R965" s="9"/>
      <c r="S965" s="34"/>
      <c r="T965" s="34"/>
    </row>
    <row r="966">
      <c r="B966" s="33"/>
      <c r="J966" s="25"/>
      <c r="K966" s="25"/>
      <c r="L966" s="8"/>
      <c r="N966" s="23"/>
      <c r="O966" s="23"/>
      <c r="P966" s="23"/>
      <c r="Q966" s="23"/>
      <c r="R966" s="9"/>
      <c r="S966" s="34"/>
      <c r="T966" s="34"/>
    </row>
    <row r="967">
      <c r="B967" s="33"/>
      <c r="J967" s="25"/>
      <c r="K967" s="25"/>
      <c r="L967" s="8"/>
      <c r="N967" s="23"/>
      <c r="O967" s="23"/>
      <c r="P967" s="23"/>
      <c r="Q967" s="23"/>
      <c r="R967" s="9"/>
      <c r="S967" s="34"/>
      <c r="T967" s="34"/>
    </row>
    <row r="968">
      <c r="B968" s="33"/>
      <c r="J968" s="25"/>
      <c r="K968" s="25"/>
      <c r="L968" s="8"/>
      <c r="N968" s="23"/>
      <c r="O968" s="23"/>
      <c r="P968" s="23"/>
      <c r="Q968" s="23"/>
      <c r="R968" s="9"/>
      <c r="S968" s="34"/>
      <c r="T968" s="34"/>
    </row>
    <row r="969">
      <c r="B969" s="33"/>
      <c r="J969" s="25"/>
      <c r="K969" s="25"/>
      <c r="L969" s="8"/>
      <c r="N969" s="23"/>
      <c r="O969" s="23"/>
      <c r="P969" s="23"/>
      <c r="Q969" s="23"/>
      <c r="R969" s="9"/>
      <c r="S969" s="34"/>
      <c r="T969" s="34"/>
    </row>
    <row r="970">
      <c r="B970" s="33"/>
      <c r="J970" s="25"/>
      <c r="K970" s="25"/>
      <c r="L970" s="8"/>
      <c r="N970" s="23"/>
      <c r="O970" s="23"/>
      <c r="P970" s="23"/>
      <c r="Q970" s="23"/>
      <c r="R970" s="9"/>
      <c r="S970" s="34"/>
      <c r="T970" s="34"/>
    </row>
    <row r="971">
      <c r="B971" s="33"/>
      <c r="J971" s="25"/>
      <c r="K971" s="25"/>
      <c r="L971" s="8"/>
      <c r="N971" s="23"/>
      <c r="O971" s="23"/>
      <c r="P971" s="23"/>
      <c r="Q971" s="23"/>
      <c r="R971" s="9"/>
      <c r="S971" s="34"/>
      <c r="T971" s="34"/>
    </row>
    <row r="972">
      <c r="B972" s="33"/>
      <c r="J972" s="25"/>
      <c r="K972" s="25"/>
      <c r="L972" s="8"/>
      <c r="N972" s="23"/>
      <c r="O972" s="23"/>
      <c r="P972" s="23"/>
      <c r="Q972" s="23"/>
      <c r="R972" s="9"/>
      <c r="S972" s="34"/>
      <c r="T972" s="34"/>
    </row>
    <row r="973">
      <c r="B973" s="33"/>
      <c r="J973" s="25"/>
      <c r="K973" s="25"/>
      <c r="L973" s="8"/>
      <c r="N973" s="23"/>
      <c r="O973" s="23"/>
      <c r="P973" s="23"/>
      <c r="Q973" s="23"/>
      <c r="R973" s="9"/>
      <c r="S973" s="34"/>
      <c r="T973" s="34"/>
    </row>
    <row r="974">
      <c r="B974" s="33"/>
      <c r="J974" s="25"/>
      <c r="K974" s="25"/>
      <c r="L974" s="8"/>
      <c r="N974" s="23"/>
      <c r="O974" s="23"/>
      <c r="P974" s="23"/>
      <c r="Q974" s="23"/>
      <c r="R974" s="9"/>
      <c r="S974" s="34"/>
      <c r="T974" s="34"/>
    </row>
    <row r="975">
      <c r="B975" s="33"/>
      <c r="J975" s="25"/>
      <c r="K975" s="25"/>
      <c r="L975" s="8"/>
      <c r="N975" s="23"/>
      <c r="O975" s="23"/>
      <c r="P975" s="23"/>
      <c r="Q975" s="23"/>
      <c r="R975" s="9"/>
      <c r="S975" s="34"/>
      <c r="T975" s="34"/>
    </row>
    <row r="976">
      <c r="B976" s="33"/>
      <c r="J976" s="25"/>
      <c r="K976" s="25"/>
      <c r="L976" s="8"/>
      <c r="N976" s="23"/>
      <c r="O976" s="23"/>
      <c r="P976" s="23"/>
      <c r="Q976" s="23"/>
      <c r="R976" s="9"/>
      <c r="S976" s="34"/>
      <c r="T976" s="34"/>
    </row>
    <row r="977">
      <c r="B977" s="33"/>
      <c r="J977" s="25"/>
      <c r="K977" s="25"/>
      <c r="L977" s="8"/>
      <c r="N977" s="23"/>
      <c r="O977" s="23"/>
      <c r="P977" s="23"/>
      <c r="Q977" s="23"/>
      <c r="R977" s="9"/>
      <c r="S977" s="34"/>
      <c r="T977" s="34"/>
    </row>
    <row r="978">
      <c r="B978" s="33"/>
      <c r="J978" s="25"/>
      <c r="K978" s="25"/>
      <c r="L978" s="8"/>
      <c r="N978" s="23"/>
      <c r="O978" s="23"/>
      <c r="P978" s="23"/>
      <c r="Q978" s="23"/>
      <c r="R978" s="9"/>
      <c r="S978" s="34"/>
      <c r="T978" s="34"/>
    </row>
    <row r="979">
      <c r="B979" s="33"/>
      <c r="J979" s="25"/>
      <c r="K979" s="25"/>
      <c r="L979" s="8"/>
      <c r="N979" s="23"/>
      <c r="O979" s="23"/>
      <c r="P979" s="23"/>
      <c r="Q979" s="23"/>
      <c r="R979" s="9"/>
      <c r="S979" s="34"/>
      <c r="T979" s="34"/>
    </row>
    <row r="980">
      <c r="B980" s="33"/>
      <c r="J980" s="25"/>
      <c r="K980" s="25"/>
      <c r="L980" s="8"/>
      <c r="N980" s="23"/>
      <c r="O980" s="23"/>
      <c r="P980" s="23"/>
      <c r="Q980" s="23"/>
      <c r="R980" s="9"/>
      <c r="S980" s="34"/>
      <c r="T980" s="34"/>
    </row>
    <row r="981">
      <c r="B981" s="33"/>
      <c r="J981" s="25"/>
      <c r="K981" s="25"/>
      <c r="L981" s="8"/>
      <c r="N981" s="23"/>
      <c r="O981" s="23"/>
      <c r="P981" s="23"/>
      <c r="Q981" s="23"/>
      <c r="R981" s="9"/>
      <c r="S981" s="34"/>
      <c r="T981" s="34"/>
    </row>
    <row r="982">
      <c r="B982" s="33"/>
      <c r="J982" s="25"/>
      <c r="K982" s="25"/>
      <c r="L982" s="8"/>
      <c r="N982" s="23"/>
      <c r="O982" s="23"/>
      <c r="P982" s="23"/>
      <c r="Q982" s="23"/>
      <c r="R982" s="9"/>
      <c r="S982" s="34"/>
      <c r="T982" s="34"/>
    </row>
    <row r="983">
      <c r="B983" s="33"/>
      <c r="J983" s="25"/>
      <c r="K983" s="25"/>
      <c r="L983" s="8"/>
      <c r="N983" s="23"/>
      <c r="O983" s="23"/>
      <c r="P983" s="23"/>
      <c r="Q983" s="23"/>
      <c r="R983" s="9"/>
      <c r="S983" s="34"/>
      <c r="T983" s="34"/>
    </row>
    <row r="984">
      <c r="B984" s="33"/>
      <c r="J984" s="25"/>
      <c r="K984" s="25"/>
      <c r="L984" s="8"/>
      <c r="N984" s="23"/>
      <c r="O984" s="23"/>
      <c r="P984" s="23"/>
      <c r="Q984" s="23"/>
      <c r="R984" s="9"/>
      <c r="S984" s="34"/>
      <c r="T984" s="34"/>
    </row>
    <row r="985">
      <c r="B985" s="33"/>
      <c r="J985" s="25"/>
      <c r="K985" s="25"/>
      <c r="L985" s="8"/>
      <c r="N985" s="23"/>
      <c r="O985" s="23"/>
      <c r="P985" s="23"/>
      <c r="Q985" s="23"/>
      <c r="R985" s="9"/>
      <c r="S985" s="34"/>
      <c r="T985" s="34"/>
    </row>
    <row r="986">
      <c r="B986" s="33"/>
      <c r="J986" s="25"/>
      <c r="K986" s="25"/>
      <c r="L986" s="8"/>
      <c r="N986" s="23"/>
      <c r="O986" s="23"/>
      <c r="P986" s="23"/>
      <c r="Q986" s="23"/>
      <c r="R986" s="9"/>
      <c r="S986" s="34"/>
      <c r="T986" s="34"/>
    </row>
    <row r="987">
      <c r="B987" s="33"/>
      <c r="J987" s="25"/>
      <c r="K987" s="25"/>
      <c r="L987" s="8"/>
      <c r="N987" s="23"/>
      <c r="O987" s="23"/>
      <c r="P987" s="23"/>
      <c r="Q987" s="23"/>
      <c r="R987" s="9"/>
      <c r="S987" s="34"/>
      <c r="T987" s="34"/>
    </row>
    <row r="988">
      <c r="B988" s="33"/>
      <c r="J988" s="25"/>
      <c r="K988" s="25"/>
      <c r="L988" s="8"/>
      <c r="N988" s="23"/>
      <c r="O988" s="23"/>
      <c r="P988" s="23"/>
      <c r="Q988" s="23"/>
      <c r="R988" s="9"/>
      <c r="S988" s="34"/>
      <c r="T988" s="34"/>
    </row>
    <row r="989">
      <c r="B989" s="33"/>
      <c r="J989" s="25"/>
      <c r="K989" s="25"/>
      <c r="L989" s="8"/>
      <c r="N989" s="23"/>
      <c r="O989" s="23"/>
      <c r="P989" s="23"/>
      <c r="Q989" s="23"/>
      <c r="R989" s="9"/>
      <c r="S989" s="34"/>
      <c r="T989" s="34"/>
    </row>
    <row r="990">
      <c r="B990" s="33"/>
      <c r="J990" s="25"/>
      <c r="K990" s="25"/>
      <c r="L990" s="8"/>
      <c r="N990" s="23"/>
      <c r="O990" s="23"/>
      <c r="P990" s="23"/>
      <c r="Q990" s="23"/>
      <c r="R990" s="9"/>
      <c r="S990" s="34"/>
      <c r="T990" s="34"/>
    </row>
    <row r="991">
      <c r="B991" s="33"/>
      <c r="J991" s="25"/>
      <c r="K991" s="25"/>
      <c r="L991" s="8"/>
      <c r="N991" s="23"/>
      <c r="O991" s="23"/>
      <c r="P991" s="23"/>
      <c r="Q991" s="23"/>
      <c r="R991" s="9"/>
      <c r="S991" s="34"/>
      <c r="T991" s="34"/>
    </row>
    <row r="992">
      <c r="B992" s="33"/>
      <c r="J992" s="25"/>
      <c r="K992" s="25"/>
      <c r="L992" s="8"/>
      <c r="N992" s="23"/>
      <c r="O992" s="23"/>
      <c r="P992" s="23"/>
      <c r="Q992" s="23"/>
      <c r="R992" s="9"/>
      <c r="S992" s="34"/>
      <c r="T992" s="34"/>
    </row>
    <row r="993">
      <c r="B993" s="33"/>
      <c r="J993" s="25"/>
      <c r="K993" s="25"/>
      <c r="L993" s="8"/>
      <c r="N993" s="23"/>
      <c r="O993" s="23"/>
      <c r="P993" s="23"/>
      <c r="Q993" s="23"/>
      <c r="R993" s="9"/>
      <c r="S993" s="34"/>
      <c r="T993" s="34"/>
    </row>
    <row r="994">
      <c r="B994" s="33"/>
      <c r="J994" s="25"/>
      <c r="K994" s="25"/>
      <c r="L994" s="8"/>
      <c r="N994" s="23"/>
      <c r="O994" s="23"/>
      <c r="P994" s="23"/>
      <c r="Q994" s="23"/>
      <c r="R994" s="9"/>
      <c r="S994" s="34"/>
      <c r="T994" s="34"/>
    </row>
    <row r="995">
      <c r="B995" s="33"/>
      <c r="J995" s="25"/>
      <c r="K995" s="25"/>
      <c r="L995" s="8"/>
      <c r="N995" s="23"/>
      <c r="O995" s="23"/>
      <c r="P995" s="23"/>
      <c r="Q995" s="23"/>
      <c r="R995" s="9"/>
      <c r="S995" s="34"/>
      <c r="T995" s="34"/>
    </row>
    <row r="996">
      <c r="B996" s="33"/>
      <c r="J996" s="25"/>
      <c r="K996" s="25"/>
      <c r="L996" s="8"/>
      <c r="N996" s="23"/>
      <c r="O996" s="23"/>
      <c r="P996" s="23"/>
      <c r="Q996" s="23"/>
      <c r="R996" s="9"/>
      <c r="S996" s="34"/>
      <c r="T996" s="34"/>
    </row>
    <row r="997">
      <c r="B997" s="33"/>
      <c r="J997" s="25"/>
      <c r="K997" s="25"/>
      <c r="L997" s="8"/>
      <c r="N997" s="23"/>
      <c r="O997" s="23"/>
      <c r="P997" s="23"/>
      <c r="Q997" s="23"/>
      <c r="R997" s="9"/>
      <c r="S997" s="34"/>
      <c r="T997" s="34"/>
    </row>
    <row r="998">
      <c r="B998" s="33"/>
      <c r="J998" s="25"/>
      <c r="K998" s="25"/>
      <c r="L998" s="8"/>
      <c r="N998" s="23"/>
      <c r="O998" s="23"/>
      <c r="P998" s="23"/>
      <c r="Q998" s="23"/>
      <c r="R998" s="9"/>
      <c r="S998" s="34"/>
      <c r="T998" s="34"/>
    </row>
    <row r="999">
      <c r="B999" s="33"/>
      <c r="J999" s="25"/>
      <c r="K999" s="25"/>
      <c r="L999" s="8"/>
      <c r="N999" s="23"/>
      <c r="O999" s="23"/>
      <c r="P999" s="23"/>
      <c r="Q999" s="23"/>
      <c r="R999" s="9"/>
      <c r="S999" s="34"/>
      <c r="T999" s="34"/>
    </row>
    <row r="1000">
      <c r="B1000" s="33"/>
      <c r="J1000" s="25"/>
      <c r="K1000" s="25"/>
      <c r="L1000" s="8"/>
      <c r="N1000" s="23"/>
      <c r="O1000" s="23"/>
      <c r="P1000" s="23"/>
      <c r="Q1000" s="23"/>
      <c r="R1000" s="9"/>
      <c r="S1000" s="34"/>
      <c r="T1000" s="34"/>
    </row>
    <row r="1001">
      <c r="B1001" s="33"/>
      <c r="J1001" s="25"/>
      <c r="K1001" s="25"/>
      <c r="L1001" s="8"/>
      <c r="N1001" s="23"/>
      <c r="O1001" s="23"/>
      <c r="P1001" s="23"/>
      <c r="Q1001" s="23"/>
      <c r="R1001" s="9"/>
      <c r="S1001" s="34"/>
      <c r="T1001" s="34"/>
    </row>
    <row r="1002">
      <c r="B1002" s="33"/>
      <c r="J1002" s="25"/>
      <c r="K1002" s="25"/>
      <c r="L1002" s="8"/>
      <c r="N1002" s="23"/>
      <c r="O1002" s="23"/>
      <c r="P1002" s="23"/>
      <c r="Q1002" s="23"/>
      <c r="R1002" s="9"/>
      <c r="S1002" s="34"/>
      <c r="T1002" s="34"/>
    </row>
    <row r="1003">
      <c r="B1003" s="33"/>
      <c r="J1003" s="25"/>
      <c r="K1003" s="25"/>
      <c r="L1003" s="8"/>
      <c r="N1003" s="23"/>
      <c r="O1003" s="23"/>
      <c r="P1003" s="23"/>
      <c r="Q1003" s="23"/>
      <c r="R1003" s="9"/>
      <c r="S1003" s="34"/>
      <c r="T1003" s="34"/>
    </row>
    <row r="1004">
      <c r="B1004" s="33"/>
      <c r="J1004" s="25"/>
      <c r="K1004" s="25"/>
      <c r="L1004" s="8"/>
      <c r="N1004" s="23"/>
      <c r="O1004" s="23"/>
      <c r="P1004" s="23"/>
      <c r="Q1004" s="23"/>
      <c r="R1004" s="9"/>
      <c r="S1004" s="34"/>
      <c r="T1004" s="34"/>
    </row>
    <row r="1005">
      <c r="B1005" s="33"/>
      <c r="J1005" s="25"/>
      <c r="K1005" s="25"/>
      <c r="L1005" s="8"/>
      <c r="N1005" s="23"/>
      <c r="O1005" s="23"/>
      <c r="P1005" s="23"/>
      <c r="Q1005" s="23"/>
      <c r="R1005" s="9"/>
      <c r="S1005" s="34"/>
      <c r="T1005" s="34"/>
    </row>
    <row r="1006">
      <c r="B1006" s="33"/>
      <c r="J1006" s="25"/>
      <c r="K1006" s="25"/>
      <c r="L1006" s="8"/>
      <c r="N1006" s="23"/>
      <c r="O1006" s="23"/>
      <c r="P1006" s="23"/>
      <c r="Q1006" s="23"/>
      <c r="R1006" s="9"/>
      <c r="S1006" s="34"/>
      <c r="T1006" s="34"/>
    </row>
    <row r="1007">
      <c r="B1007" s="33"/>
      <c r="J1007" s="25"/>
      <c r="K1007" s="25"/>
      <c r="L1007" s="8"/>
      <c r="N1007" s="23"/>
      <c r="O1007" s="23"/>
      <c r="P1007" s="23"/>
      <c r="Q1007" s="23"/>
      <c r="R1007" s="9"/>
      <c r="S1007" s="34"/>
      <c r="T1007" s="34"/>
    </row>
    <row r="1008">
      <c r="B1008" s="33"/>
      <c r="J1008" s="25"/>
      <c r="K1008" s="25"/>
      <c r="L1008" s="8"/>
      <c r="N1008" s="23"/>
      <c r="O1008" s="23"/>
      <c r="P1008" s="23"/>
      <c r="Q1008" s="23"/>
      <c r="R1008" s="9"/>
      <c r="S1008" s="34"/>
      <c r="T1008" s="34"/>
    </row>
    <row r="1009">
      <c r="B1009" s="33"/>
      <c r="J1009" s="25"/>
      <c r="K1009" s="25"/>
      <c r="L1009" s="8"/>
      <c r="N1009" s="23"/>
      <c r="O1009" s="23"/>
      <c r="P1009" s="23"/>
      <c r="Q1009" s="23"/>
      <c r="R1009" s="9"/>
      <c r="S1009" s="34"/>
      <c r="T1009" s="34"/>
    </row>
  </sheetData>
  <conditionalFormatting sqref="M1:M1009">
    <cfRule type="containsText" dxfId="0" priority="1" operator="containsText" text="W">
      <formula>NOT(ISERROR(SEARCH(("W"),(M1))))</formula>
    </cfRule>
  </conditionalFormatting>
  <conditionalFormatting sqref="M1:M1009">
    <cfRule type="beginsWith" dxfId="1" priority="2" operator="beginsWith" text="L">
      <formula>LEFT((M1),LEN("L"))=("L")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5" max="5" width="17.38"/>
  </cols>
  <sheetData>
    <row r="1">
      <c r="E1" s="35"/>
    </row>
    <row r="2">
      <c r="E2" s="11" t="s">
        <v>30</v>
      </c>
      <c r="F2" s="11" t="s">
        <v>285</v>
      </c>
      <c r="G2" s="11" t="s">
        <v>22</v>
      </c>
      <c r="H2" s="11" t="s">
        <v>286</v>
      </c>
    </row>
    <row r="3">
      <c r="E3" s="11" t="s">
        <v>245</v>
      </c>
      <c r="F3" s="8">
        <v>145.0</v>
      </c>
      <c r="G3" s="23">
        <v>23.85</v>
      </c>
      <c r="H3" s="23">
        <v>170.1</v>
      </c>
    </row>
    <row r="4">
      <c r="E4" s="11" t="s">
        <v>247</v>
      </c>
      <c r="F4" s="8">
        <v>145.0</v>
      </c>
      <c r="G4" s="23">
        <v>-4.799999999999999</v>
      </c>
      <c r="H4" s="23">
        <v>140.2</v>
      </c>
    </row>
    <row r="5">
      <c r="E5" s="11" t="s">
        <v>249</v>
      </c>
      <c r="F5" s="8">
        <v>145.0</v>
      </c>
      <c r="G5" s="23">
        <v>-36.400000000000006</v>
      </c>
      <c r="H5" s="23">
        <v>108.60000000000001</v>
      </c>
    </row>
    <row r="6">
      <c r="E6" s="11" t="s">
        <v>287</v>
      </c>
      <c r="F6" s="8">
        <v>435.0</v>
      </c>
      <c r="G6" s="23">
        <v>-17.35</v>
      </c>
      <c r="H6" s="23">
        <v>418.8999999999999</v>
      </c>
    </row>
    <row r="7">
      <c r="E7" s="35"/>
    </row>
    <row r="8">
      <c r="E8" s="35"/>
    </row>
    <row r="9">
      <c r="E9" s="35"/>
    </row>
    <row r="10">
      <c r="E10" s="35"/>
    </row>
    <row r="11">
      <c r="E11" s="35"/>
    </row>
    <row r="12">
      <c r="E12" s="35"/>
    </row>
    <row r="13">
      <c r="E13" s="35"/>
    </row>
    <row r="14">
      <c r="E14" s="35"/>
    </row>
    <row r="15">
      <c r="E15" s="35"/>
    </row>
    <row r="16">
      <c r="E16" s="35"/>
    </row>
    <row r="17">
      <c r="E17" s="35"/>
    </row>
    <row r="18">
      <c r="E18" s="35"/>
    </row>
    <row r="19">
      <c r="E19" s="35"/>
    </row>
    <row r="20">
      <c r="E20" s="35"/>
    </row>
    <row r="21">
      <c r="E21" s="35"/>
    </row>
    <row r="22">
      <c r="E22" s="35"/>
    </row>
    <row r="23">
      <c r="E23" s="35"/>
    </row>
    <row r="24">
      <c r="E24" s="35"/>
    </row>
    <row r="25">
      <c r="E25" s="35"/>
    </row>
    <row r="26">
      <c r="E26" s="35"/>
    </row>
    <row r="27">
      <c r="E27" s="35"/>
    </row>
    <row r="28">
      <c r="E28" s="35"/>
    </row>
    <row r="29">
      <c r="E29" s="35"/>
    </row>
    <row r="30">
      <c r="E30" s="35"/>
    </row>
    <row r="31">
      <c r="E31" s="35"/>
    </row>
    <row r="32">
      <c r="E32" s="35"/>
    </row>
    <row r="33">
      <c r="E33" s="35"/>
    </row>
    <row r="34">
      <c r="E34" s="35"/>
    </row>
    <row r="35">
      <c r="E35" s="35"/>
    </row>
    <row r="36">
      <c r="E36" s="35"/>
    </row>
    <row r="37">
      <c r="E37" s="35"/>
    </row>
    <row r="38">
      <c r="E38" s="35"/>
    </row>
    <row r="39">
      <c r="E39" s="35"/>
    </row>
    <row r="40">
      <c r="E40" s="35"/>
    </row>
    <row r="41">
      <c r="E41" s="35"/>
    </row>
    <row r="42">
      <c r="E42" s="35"/>
    </row>
    <row r="43">
      <c r="E43" s="35"/>
    </row>
    <row r="44">
      <c r="E44" s="35"/>
    </row>
    <row r="45">
      <c r="E45" s="35"/>
    </row>
    <row r="46">
      <c r="E46" s="35"/>
    </row>
    <row r="47">
      <c r="E47" s="35"/>
    </row>
    <row r="48">
      <c r="E48" s="35"/>
    </row>
    <row r="49">
      <c r="E49" s="35"/>
    </row>
    <row r="50">
      <c r="E50" s="35"/>
    </row>
    <row r="51">
      <c r="E51" s="35"/>
    </row>
    <row r="52">
      <c r="E52" s="35"/>
    </row>
    <row r="53">
      <c r="E53" s="35"/>
    </row>
    <row r="54">
      <c r="E54" s="35"/>
    </row>
    <row r="55">
      <c r="E55" s="35"/>
    </row>
    <row r="56">
      <c r="E56" s="35"/>
    </row>
    <row r="57">
      <c r="E57" s="35"/>
    </row>
    <row r="58">
      <c r="E58" s="35"/>
    </row>
    <row r="59">
      <c r="E59" s="35"/>
    </row>
    <row r="60">
      <c r="E60" s="35"/>
    </row>
    <row r="61">
      <c r="E61" s="35"/>
    </row>
    <row r="62">
      <c r="E62" s="35"/>
    </row>
    <row r="63">
      <c r="E63" s="35"/>
    </row>
    <row r="64">
      <c r="E64" s="35"/>
    </row>
    <row r="65">
      <c r="E65" s="35"/>
    </row>
    <row r="66">
      <c r="E66" s="35"/>
    </row>
    <row r="67">
      <c r="E67" s="35"/>
    </row>
    <row r="68">
      <c r="E68" s="35"/>
    </row>
    <row r="69">
      <c r="E69" s="35"/>
    </row>
    <row r="70">
      <c r="E70" s="35"/>
    </row>
    <row r="71">
      <c r="E71" s="35"/>
    </row>
    <row r="72">
      <c r="E72" s="35"/>
    </row>
    <row r="73">
      <c r="E73" s="35"/>
    </row>
    <row r="74">
      <c r="E74" s="35"/>
    </row>
    <row r="75">
      <c r="E75" s="35"/>
    </row>
    <row r="76">
      <c r="E76" s="35"/>
    </row>
    <row r="77">
      <c r="E77" s="35"/>
    </row>
    <row r="78">
      <c r="E78" s="35"/>
    </row>
    <row r="79">
      <c r="E79" s="35"/>
    </row>
    <row r="80">
      <c r="E80" s="35"/>
    </row>
    <row r="81">
      <c r="E81" s="35"/>
    </row>
    <row r="82">
      <c r="E82" s="35"/>
    </row>
    <row r="83">
      <c r="E83" s="35"/>
    </row>
    <row r="84">
      <c r="E84" s="35"/>
    </row>
    <row r="85">
      <c r="E85" s="35"/>
    </row>
    <row r="86">
      <c r="E86" s="35"/>
    </row>
    <row r="87">
      <c r="E87" s="35"/>
    </row>
    <row r="88">
      <c r="E88" s="35"/>
    </row>
    <row r="89">
      <c r="E89" s="35"/>
    </row>
    <row r="90">
      <c r="E90" s="35"/>
    </row>
    <row r="91">
      <c r="E91" s="35"/>
    </row>
    <row r="92">
      <c r="E92" s="35"/>
    </row>
    <row r="93">
      <c r="E93" s="35"/>
    </row>
    <row r="94">
      <c r="E94" s="35"/>
    </row>
    <row r="95">
      <c r="E95" s="35"/>
    </row>
    <row r="96">
      <c r="E96" s="35"/>
    </row>
    <row r="97">
      <c r="E97" s="35"/>
    </row>
    <row r="98">
      <c r="E98" s="35"/>
    </row>
    <row r="99">
      <c r="E99" s="35"/>
    </row>
    <row r="100">
      <c r="E100" s="35"/>
    </row>
    <row r="101">
      <c r="E101" s="35"/>
    </row>
    <row r="102">
      <c r="E102" s="35"/>
    </row>
    <row r="103">
      <c r="E103" s="35"/>
    </row>
    <row r="104">
      <c r="E104" s="35"/>
    </row>
    <row r="105">
      <c r="E105" s="35"/>
    </row>
    <row r="106">
      <c r="E106" s="35"/>
    </row>
    <row r="107">
      <c r="E107" s="35"/>
    </row>
    <row r="108">
      <c r="E108" s="35"/>
    </row>
    <row r="109">
      <c r="E109" s="35"/>
    </row>
    <row r="110">
      <c r="E110" s="35"/>
    </row>
    <row r="111">
      <c r="E111" s="35"/>
    </row>
    <row r="112">
      <c r="E112" s="35"/>
    </row>
    <row r="113">
      <c r="E113" s="35"/>
    </row>
    <row r="114">
      <c r="E114" s="35"/>
    </row>
    <row r="115">
      <c r="E115" s="35"/>
    </row>
    <row r="116">
      <c r="E116" s="35"/>
    </row>
    <row r="117">
      <c r="E117" s="35"/>
    </row>
    <row r="118">
      <c r="E118" s="35"/>
    </row>
    <row r="119">
      <c r="E119" s="35"/>
    </row>
    <row r="120">
      <c r="E120" s="35"/>
    </row>
    <row r="121">
      <c r="E121" s="35"/>
    </row>
    <row r="122">
      <c r="E122" s="35"/>
    </row>
    <row r="123">
      <c r="E123" s="35"/>
    </row>
    <row r="124">
      <c r="E124" s="35"/>
    </row>
    <row r="125">
      <c r="E125" s="35"/>
    </row>
    <row r="126">
      <c r="E126" s="35"/>
    </row>
    <row r="127">
      <c r="E127" s="35"/>
    </row>
    <row r="128">
      <c r="E128" s="35"/>
    </row>
    <row r="129">
      <c r="E129" s="35"/>
    </row>
    <row r="130">
      <c r="E130" s="35"/>
    </row>
    <row r="131">
      <c r="E131" s="35"/>
    </row>
    <row r="132">
      <c r="E132" s="35"/>
    </row>
    <row r="133">
      <c r="E133" s="35"/>
    </row>
    <row r="134">
      <c r="E134" s="35"/>
    </row>
    <row r="135">
      <c r="E135" s="35"/>
    </row>
    <row r="136">
      <c r="E136" s="35"/>
    </row>
    <row r="137">
      <c r="E137" s="35"/>
    </row>
    <row r="138">
      <c r="E138" s="35"/>
    </row>
    <row r="139">
      <c r="E139" s="35"/>
    </row>
    <row r="140">
      <c r="E140" s="35"/>
    </row>
    <row r="141">
      <c r="E141" s="35"/>
    </row>
    <row r="142">
      <c r="E142" s="35"/>
    </row>
    <row r="143">
      <c r="E143" s="35"/>
    </row>
    <row r="144">
      <c r="E144" s="35"/>
    </row>
    <row r="145">
      <c r="E145" s="35"/>
    </row>
    <row r="146">
      <c r="E146" s="35"/>
    </row>
    <row r="147">
      <c r="E147" s="35"/>
    </row>
    <row r="148">
      <c r="E148" s="35"/>
    </row>
    <row r="149">
      <c r="E149" s="35"/>
    </row>
    <row r="150">
      <c r="E150" s="35"/>
    </row>
    <row r="151">
      <c r="E151" s="35"/>
    </row>
    <row r="152">
      <c r="E152" s="35"/>
    </row>
    <row r="153">
      <c r="E153" s="35"/>
    </row>
    <row r="154">
      <c r="E154" s="35"/>
    </row>
    <row r="155">
      <c r="E155" s="35"/>
    </row>
    <row r="156">
      <c r="E156" s="35"/>
    </row>
    <row r="157">
      <c r="E157" s="35"/>
    </row>
    <row r="158">
      <c r="E158" s="35"/>
    </row>
    <row r="159">
      <c r="E159" s="35"/>
    </row>
    <row r="160">
      <c r="E160" s="35"/>
    </row>
    <row r="161">
      <c r="E161" s="35"/>
    </row>
    <row r="162">
      <c r="E162" s="35"/>
    </row>
    <row r="163">
      <c r="E163" s="35"/>
    </row>
    <row r="164">
      <c r="E164" s="35"/>
    </row>
    <row r="165">
      <c r="E165" s="35"/>
    </row>
    <row r="166">
      <c r="E166" s="35"/>
    </row>
    <row r="167">
      <c r="E167" s="35"/>
    </row>
    <row r="168">
      <c r="E168" s="35"/>
    </row>
    <row r="169">
      <c r="E169" s="35"/>
    </row>
    <row r="170">
      <c r="E170" s="35"/>
    </row>
    <row r="171">
      <c r="E171" s="35"/>
    </row>
    <row r="172">
      <c r="E172" s="35"/>
    </row>
    <row r="173">
      <c r="E173" s="35"/>
    </row>
    <row r="174">
      <c r="E174" s="35"/>
    </row>
    <row r="175">
      <c r="E175" s="35"/>
    </row>
    <row r="176">
      <c r="E176" s="35"/>
    </row>
    <row r="177">
      <c r="E177" s="35"/>
    </row>
    <row r="178">
      <c r="E178" s="35"/>
    </row>
    <row r="179">
      <c r="E179" s="35"/>
    </row>
    <row r="180">
      <c r="E180" s="35"/>
    </row>
    <row r="181">
      <c r="E181" s="35"/>
    </row>
    <row r="182">
      <c r="E182" s="35"/>
    </row>
    <row r="183">
      <c r="E183" s="35"/>
    </row>
    <row r="184">
      <c r="E184" s="35"/>
    </row>
    <row r="185">
      <c r="E185" s="35"/>
    </row>
    <row r="186">
      <c r="E186" s="35"/>
    </row>
    <row r="187">
      <c r="E187" s="35"/>
    </row>
    <row r="188">
      <c r="E188" s="35"/>
    </row>
    <row r="189">
      <c r="E189" s="35"/>
    </row>
    <row r="190">
      <c r="E190" s="35"/>
    </row>
    <row r="191">
      <c r="E191" s="35"/>
    </row>
    <row r="192">
      <c r="E192" s="35"/>
    </row>
    <row r="193">
      <c r="E193" s="35"/>
    </row>
    <row r="194">
      <c r="E194" s="35"/>
    </row>
    <row r="195">
      <c r="E195" s="35"/>
    </row>
    <row r="196">
      <c r="E196" s="35"/>
    </row>
    <row r="197">
      <c r="E197" s="35"/>
    </row>
    <row r="198">
      <c r="E198" s="35"/>
    </row>
    <row r="199">
      <c r="E199" s="35"/>
    </row>
    <row r="200">
      <c r="E200" s="35"/>
    </row>
    <row r="201">
      <c r="E201" s="35"/>
    </row>
    <row r="202">
      <c r="E202" s="35"/>
    </row>
    <row r="203">
      <c r="E203" s="35"/>
    </row>
    <row r="204">
      <c r="E204" s="35"/>
    </row>
    <row r="205">
      <c r="E205" s="35"/>
    </row>
    <row r="206">
      <c r="E206" s="35"/>
    </row>
    <row r="207">
      <c r="E207" s="35"/>
    </row>
    <row r="208">
      <c r="E208" s="35"/>
    </row>
    <row r="209">
      <c r="E209" s="35"/>
    </row>
    <row r="210">
      <c r="E210" s="35"/>
    </row>
    <row r="211">
      <c r="E211" s="35"/>
    </row>
    <row r="212">
      <c r="E212" s="35"/>
    </row>
    <row r="213">
      <c r="E213" s="35"/>
    </row>
    <row r="214">
      <c r="E214" s="35"/>
    </row>
    <row r="215">
      <c r="E215" s="35"/>
    </row>
    <row r="216">
      <c r="E216" s="35"/>
    </row>
    <row r="217">
      <c r="E217" s="35"/>
    </row>
    <row r="218">
      <c r="E218" s="35"/>
    </row>
    <row r="219">
      <c r="E219" s="35"/>
    </row>
    <row r="220">
      <c r="E220" s="35"/>
    </row>
    <row r="221">
      <c r="E221" s="35"/>
    </row>
    <row r="222">
      <c r="E222" s="35"/>
    </row>
    <row r="223">
      <c r="E223" s="35"/>
    </row>
    <row r="224">
      <c r="E224" s="35"/>
    </row>
    <row r="225">
      <c r="E225" s="35"/>
    </row>
    <row r="226">
      <c r="E226" s="35"/>
    </row>
    <row r="227">
      <c r="E227" s="35"/>
    </row>
    <row r="228">
      <c r="E228" s="35"/>
    </row>
    <row r="229">
      <c r="E229" s="35"/>
    </row>
    <row r="230">
      <c r="E230" s="35"/>
    </row>
    <row r="231">
      <c r="E231" s="35"/>
    </row>
    <row r="232">
      <c r="E232" s="35"/>
    </row>
    <row r="233">
      <c r="E233" s="35"/>
    </row>
    <row r="234">
      <c r="E234" s="35"/>
    </row>
    <row r="235">
      <c r="E235" s="35"/>
    </row>
    <row r="236">
      <c r="E236" s="35"/>
    </row>
    <row r="237">
      <c r="E237" s="35"/>
    </row>
    <row r="238">
      <c r="E238" s="35"/>
    </row>
    <row r="239">
      <c r="E239" s="35"/>
    </row>
    <row r="240">
      <c r="E240" s="35"/>
    </row>
    <row r="241">
      <c r="E241" s="35"/>
    </row>
    <row r="242">
      <c r="E242" s="35"/>
    </row>
    <row r="243">
      <c r="E243" s="35"/>
    </row>
    <row r="244">
      <c r="E244" s="35"/>
    </row>
    <row r="245">
      <c r="E245" s="35"/>
    </row>
    <row r="246">
      <c r="E246" s="35"/>
    </row>
    <row r="247">
      <c r="E247" s="35"/>
    </row>
    <row r="248">
      <c r="E248" s="35"/>
    </row>
    <row r="249">
      <c r="E249" s="35"/>
    </row>
    <row r="250">
      <c r="E250" s="35"/>
    </row>
    <row r="251">
      <c r="E251" s="35"/>
    </row>
    <row r="252">
      <c r="E252" s="35"/>
    </row>
    <row r="253">
      <c r="E253" s="35"/>
    </row>
    <row r="254">
      <c r="E254" s="35"/>
    </row>
    <row r="255">
      <c r="E255" s="35"/>
    </row>
    <row r="256">
      <c r="E256" s="35"/>
    </row>
    <row r="257">
      <c r="E257" s="35"/>
    </row>
    <row r="258">
      <c r="E258" s="35"/>
    </row>
    <row r="259">
      <c r="E259" s="35"/>
    </row>
    <row r="260">
      <c r="E260" s="35"/>
    </row>
    <row r="261">
      <c r="E261" s="35"/>
    </row>
    <row r="262">
      <c r="E262" s="35"/>
    </row>
    <row r="263">
      <c r="E263" s="35"/>
    </row>
    <row r="264">
      <c r="E264" s="35"/>
    </row>
    <row r="265">
      <c r="E265" s="35"/>
    </row>
    <row r="266">
      <c r="E266" s="35"/>
    </row>
    <row r="267">
      <c r="E267" s="35"/>
    </row>
    <row r="268">
      <c r="E268" s="35"/>
    </row>
    <row r="269">
      <c r="E269" s="35"/>
    </row>
    <row r="270">
      <c r="E270" s="35"/>
    </row>
    <row r="271">
      <c r="E271" s="35"/>
    </row>
    <row r="272">
      <c r="E272" s="35"/>
    </row>
    <row r="273">
      <c r="E273" s="35"/>
    </row>
    <row r="274">
      <c r="E274" s="35"/>
    </row>
    <row r="275">
      <c r="E275" s="35"/>
    </row>
    <row r="276">
      <c r="E276" s="35"/>
    </row>
    <row r="277">
      <c r="E277" s="35"/>
    </row>
    <row r="278">
      <c r="E278" s="35"/>
    </row>
    <row r="279">
      <c r="E279" s="35"/>
    </row>
    <row r="280">
      <c r="E280" s="35"/>
    </row>
    <row r="281">
      <c r="E281" s="35"/>
    </row>
    <row r="282">
      <c r="E282" s="35"/>
    </row>
    <row r="283">
      <c r="E283" s="35"/>
    </row>
    <row r="284">
      <c r="E284" s="35"/>
    </row>
    <row r="285">
      <c r="E285" s="35"/>
    </row>
    <row r="286">
      <c r="E286" s="35"/>
    </row>
    <row r="287">
      <c r="E287" s="35"/>
    </row>
    <row r="288">
      <c r="E288" s="35"/>
    </row>
    <row r="289">
      <c r="E289" s="35"/>
    </row>
    <row r="290">
      <c r="E290" s="35"/>
    </row>
    <row r="291">
      <c r="E291" s="35"/>
    </row>
    <row r="292">
      <c r="E292" s="35"/>
    </row>
    <row r="293">
      <c r="E293" s="35"/>
    </row>
    <row r="294">
      <c r="E294" s="35"/>
    </row>
    <row r="295">
      <c r="E295" s="35"/>
    </row>
    <row r="296">
      <c r="E296" s="35"/>
    </row>
    <row r="297">
      <c r="E297" s="35"/>
    </row>
    <row r="298">
      <c r="E298" s="35"/>
    </row>
    <row r="299">
      <c r="E299" s="35"/>
    </row>
    <row r="300">
      <c r="E300" s="35"/>
    </row>
    <row r="301">
      <c r="E301" s="35"/>
    </row>
    <row r="302">
      <c r="E302" s="35"/>
    </row>
    <row r="303">
      <c r="E303" s="35"/>
    </row>
    <row r="304">
      <c r="E304" s="35"/>
    </row>
    <row r="305">
      <c r="E305" s="35"/>
    </row>
    <row r="306">
      <c r="E306" s="35"/>
    </row>
    <row r="307">
      <c r="E307" s="35"/>
    </row>
    <row r="308">
      <c r="E308" s="35"/>
    </row>
    <row r="309">
      <c r="E309" s="35"/>
    </row>
    <row r="310">
      <c r="E310" s="35"/>
    </row>
    <row r="311">
      <c r="E311" s="35"/>
    </row>
    <row r="312">
      <c r="E312" s="35"/>
    </row>
    <row r="313">
      <c r="E313" s="35"/>
    </row>
    <row r="314">
      <c r="E314" s="35"/>
    </row>
    <row r="315">
      <c r="E315" s="35"/>
    </row>
    <row r="316">
      <c r="E316" s="35"/>
    </row>
    <row r="317">
      <c r="E317" s="35"/>
    </row>
    <row r="318">
      <c r="E318" s="35"/>
    </row>
    <row r="319">
      <c r="E319" s="35"/>
    </row>
    <row r="320">
      <c r="E320" s="35"/>
    </row>
    <row r="321">
      <c r="E321" s="35"/>
    </row>
    <row r="322">
      <c r="E322" s="35"/>
    </row>
    <row r="323">
      <c r="E323" s="35"/>
    </row>
    <row r="324">
      <c r="E324" s="35"/>
    </row>
    <row r="325">
      <c r="E325" s="35"/>
    </row>
    <row r="326">
      <c r="E326" s="35"/>
    </row>
    <row r="327">
      <c r="E327" s="35"/>
    </row>
    <row r="328">
      <c r="E328" s="35"/>
    </row>
    <row r="329">
      <c r="E329" s="35"/>
    </row>
    <row r="330">
      <c r="E330" s="35"/>
    </row>
    <row r="331">
      <c r="E331" s="35"/>
    </row>
    <row r="332">
      <c r="E332" s="35"/>
    </row>
    <row r="333">
      <c r="E333" s="35"/>
    </row>
    <row r="334">
      <c r="E334" s="35"/>
    </row>
    <row r="335">
      <c r="E335" s="35"/>
    </row>
    <row r="336">
      <c r="E336" s="35"/>
    </row>
    <row r="337">
      <c r="E337" s="35"/>
    </row>
    <row r="338">
      <c r="E338" s="35"/>
    </row>
    <row r="339">
      <c r="E339" s="35"/>
    </row>
    <row r="340">
      <c r="E340" s="35"/>
    </row>
    <row r="341">
      <c r="E341" s="35"/>
    </row>
    <row r="342">
      <c r="E342" s="35"/>
    </row>
    <row r="343">
      <c r="E343" s="35"/>
    </row>
    <row r="344">
      <c r="E344" s="35"/>
    </row>
    <row r="345">
      <c r="E345" s="35"/>
    </row>
    <row r="346">
      <c r="E346" s="35"/>
    </row>
    <row r="347">
      <c r="E347" s="35"/>
    </row>
    <row r="348">
      <c r="E348" s="35"/>
    </row>
    <row r="349">
      <c r="E349" s="35"/>
    </row>
    <row r="350">
      <c r="E350" s="35"/>
    </row>
    <row r="351">
      <c r="E351" s="35"/>
    </row>
    <row r="352">
      <c r="E352" s="35"/>
    </row>
    <row r="353">
      <c r="E353" s="35"/>
    </row>
    <row r="354">
      <c r="E354" s="35"/>
    </row>
    <row r="355">
      <c r="E355" s="35"/>
    </row>
    <row r="356">
      <c r="E356" s="35"/>
    </row>
    <row r="357">
      <c r="E357" s="35"/>
    </row>
    <row r="358">
      <c r="E358" s="35"/>
    </row>
    <row r="359">
      <c r="E359" s="35"/>
    </row>
    <row r="360">
      <c r="E360" s="35"/>
    </row>
    <row r="361">
      <c r="E361" s="35"/>
    </row>
    <row r="362">
      <c r="E362" s="35"/>
    </row>
    <row r="363">
      <c r="E363" s="35"/>
    </row>
    <row r="364">
      <c r="E364" s="35"/>
    </row>
    <row r="365">
      <c r="E365" s="35"/>
    </row>
    <row r="366">
      <c r="E366" s="35"/>
    </row>
    <row r="367">
      <c r="E367" s="35"/>
    </row>
    <row r="368">
      <c r="E368" s="35"/>
    </row>
    <row r="369">
      <c r="E369" s="35"/>
    </row>
    <row r="370">
      <c r="E370" s="35"/>
    </row>
    <row r="371">
      <c r="E371" s="35"/>
    </row>
    <row r="372">
      <c r="E372" s="35"/>
    </row>
    <row r="373">
      <c r="E373" s="35"/>
    </row>
    <row r="374">
      <c r="E374" s="35"/>
    </row>
    <row r="375">
      <c r="E375" s="35"/>
    </row>
    <row r="376">
      <c r="E376" s="35"/>
    </row>
    <row r="377">
      <c r="E377" s="35"/>
    </row>
    <row r="378">
      <c r="E378" s="35"/>
    </row>
    <row r="379">
      <c r="E379" s="35"/>
    </row>
    <row r="380">
      <c r="E380" s="35"/>
    </row>
    <row r="381">
      <c r="E381" s="35"/>
    </row>
    <row r="382">
      <c r="E382" s="35"/>
    </row>
    <row r="383">
      <c r="E383" s="35"/>
    </row>
    <row r="384">
      <c r="E384" s="35"/>
    </row>
    <row r="385">
      <c r="E385" s="35"/>
    </row>
    <row r="386">
      <c r="E386" s="35"/>
    </row>
    <row r="387">
      <c r="E387" s="35"/>
    </row>
    <row r="388">
      <c r="E388" s="35"/>
    </row>
    <row r="389">
      <c r="E389" s="35"/>
    </row>
    <row r="390">
      <c r="E390" s="35"/>
    </row>
    <row r="391">
      <c r="E391" s="35"/>
    </row>
    <row r="392">
      <c r="E392" s="35"/>
    </row>
    <row r="393">
      <c r="E393" s="35"/>
    </row>
    <row r="394">
      <c r="E394" s="35"/>
    </row>
    <row r="395">
      <c r="E395" s="35"/>
    </row>
    <row r="396">
      <c r="E396" s="35"/>
    </row>
    <row r="397">
      <c r="E397" s="35"/>
    </row>
    <row r="398">
      <c r="E398" s="35"/>
    </row>
    <row r="399">
      <c r="E399" s="35"/>
    </row>
    <row r="400">
      <c r="E400" s="35"/>
    </row>
    <row r="401">
      <c r="E401" s="35"/>
    </row>
    <row r="402">
      <c r="E402" s="35"/>
    </row>
    <row r="403">
      <c r="E403" s="35"/>
    </row>
    <row r="404">
      <c r="E404" s="35"/>
    </row>
    <row r="405">
      <c r="E405" s="35"/>
    </row>
    <row r="406">
      <c r="E406" s="35"/>
    </row>
    <row r="407">
      <c r="E407" s="35"/>
    </row>
    <row r="408">
      <c r="E408" s="35"/>
    </row>
    <row r="409">
      <c r="E409" s="35"/>
    </row>
    <row r="410">
      <c r="E410" s="35"/>
    </row>
    <row r="411">
      <c r="E411" s="35"/>
    </row>
    <row r="412">
      <c r="E412" s="35"/>
    </row>
    <row r="413">
      <c r="E413" s="35"/>
    </row>
    <row r="414">
      <c r="E414" s="35"/>
    </row>
    <row r="415">
      <c r="E415" s="35"/>
    </row>
    <row r="416">
      <c r="E416" s="35"/>
    </row>
    <row r="417">
      <c r="E417" s="35"/>
    </row>
    <row r="418">
      <c r="E418" s="35"/>
    </row>
    <row r="419">
      <c r="E419" s="35"/>
    </row>
    <row r="420">
      <c r="E420" s="35"/>
    </row>
    <row r="421">
      <c r="E421" s="35"/>
    </row>
    <row r="422">
      <c r="E422" s="35"/>
    </row>
    <row r="423">
      <c r="E423" s="35"/>
    </row>
    <row r="424">
      <c r="E424" s="35"/>
    </row>
    <row r="425">
      <c r="E425" s="35"/>
    </row>
    <row r="426">
      <c r="E426" s="35"/>
    </row>
    <row r="427">
      <c r="E427" s="35"/>
    </row>
    <row r="428">
      <c r="E428" s="35"/>
    </row>
    <row r="429">
      <c r="E429" s="35"/>
    </row>
    <row r="430">
      <c r="E430" s="35"/>
    </row>
    <row r="431">
      <c r="E431" s="35"/>
    </row>
    <row r="432">
      <c r="E432" s="35"/>
    </row>
    <row r="433">
      <c r="E433" s="35"/>
    </row>
    <row r="434">
      <c r="E434" s="35"/>
    </row>
    <row r="435">
      <c r="E435" s="35"/>
    </row>
    <row r="436">
      <c r="E436" s="35"/>
    </row>
    <row r="437">
      <c r="E437" s="35"/>
    </row>
    <row r="438">
      <c r="E438" s="35"/>
    </row>
    <row r="439">
      <c r="E439" s="35"/>
    </row>
    <row r="440">
      <c r="E440" s="35"/>
    </row>
    <row r="441">
      <c r="E441" s="35"/>
    </row>
    <row r="442">
      <c r="E442" s="35"/>
    </row>
    <row r="443">
      <c r="E443" s="35"/>
    </row>
    <row r="444">
      <c r="E444" s="35"/>
    </row>
    <row r="445">
      <c r="E445" s="35"/>
    </row>
    <row r="446">
      <c r="E446" s="35"/>
    </row>
    <row r="447">
      <c r="E447" s="35"/>
    </row>
    <row r="448">
      <c r="E448" s="35"/>
    </row>
    <row r="449">
      <c r="E449" s="35"/>
    </row>
    <row r="450">
      <c r="E450" s="35"/>
    </row>
    <row r="451">
      <c r="E451" s="35"/>
    </row>
    <row r="452">
      <c r="E452" s="35"/>
    </row>
    <row r="453">
      <c r="E453" s="35"/>
    </row>
    <row r="454">
      <c r="E454" s="35"/>
    </row>
    <row r="455">
      <c r="E455" s="35"/>
    </row>
    <row r="456">
      <c r="E456" s="35"/>
    </row>
    <row r="457">
      <c r="E457" s="35"/>
    </row>
    <row r="458">
      <c r="E458" s="35"/>
    </row>
    <row r="459">
      <c r="E459" s="35"/>
    </row>
    <row r="460">
      <c r="E460" s="35"/>
    </row>
    <row r="461">
      <c r="E461" s="35"/>
    </row>
    <row r="462">
      <c r="E462" s="35"/>
    </row>
    <row r="463">
      <c r="E463" s="35"/>
    </row>
    <row r="464">
      <c r="E464" s="35"/>
    </row>
    <row r="465">
      <c r="E465" s="35"/>
    </row>
    <row r="466">
      <c r="E466" s="35"/>
    </row>
    <row r="467">
      <c r="E467" s="35"/>
    </row>
    <row r="468">
      <c r="E468" s="35"/>
    </row>
    <row r="469">
      <c r="E469" s="35"/>
    </row>
    <row r="470">
      <c r="E470" s="35"/>
    </row>
    <row r="471">
      <c r="E471" s="35"/>
    </row>
    <row r="472">
      <c r="E472" s="35"/>
    </row>
    <row r="473">
      <c r="E473" s="35"/>
    </row>
    <row r="474">
      <c r="E474" s="35"/>
    </row>
    <row r="475">
      <c r="E475" s="35"/>
    </row>
    <row r="476">
      <c r="E476" s="35"/>
    </row>
    <row r="477">
      <c r="E477" s="35"/>
    </row>
    <row r="478">
      <c r="E478" s="35"/>
    </row>
    <row r="479">
      <c r="E479" s="35"/>
    </row>
    <row r="480">
      <c r="E480" s="35"/>
    </row>
    <row r="481">
      <c r="E481" s="35"/>
    </row>
    <row r="482">
      <c r="E482" s="35"/>
    </row>
    <row r="483">
      <c r="E483" s="35"/>
    </row>
    <row r="484">
      <c r="E484" s="35"/>
    </row>
    <row r="485">
      <c r="E485" s="35"/>
    </row>
    <row r="486">
      <c r="E486" s="35"/>
    </row>
    <row r="487">
      <c r="E487" s="35"/>
    </row>
    <row r="488">
      <c r="E488" s="35"/>
    </row>
    <row r="489">
      <c r="E489" s="35"/>
    </row>
    <row r="490">
      <c r="E490" s="35"/>
    </row>
    <row r="491">
      <c r="E491" s="35"/>
    </row>
    <row r="492">
      <c r="E492" s="35"/>
    </row>
    <row r="493">
      <c r="E493" s="35"/>
    </row>
    <row r="494">
      <c r="E494" s="35"/>
    </row>
    <row r="495">
      <c r="E495" s="35"/>
    </row>
    <row r="496">
      <c r="E496" s="35"/>
    </row>
    <row r="497">
      <c r="E497" s="35"/>
    </row>
    <row r="498">
      <c r="E498" s="35"/>
    </row>
    <row r="499">
      <c r="E499" s="35"/>
    </row>
    <row r="500">
      <c r="E500" s="35"/>
    </row>
    <row r="501">
      <c r="E501" s="35"/>
    </row>
    <row r="502">
      <c r="E502" s="35"/>
    </row>
    <row r="503">
      <c r="E503" s="35"/>
    </row>
    <row r="504">
      <c r="E504" s="35"/>
    </row>
    <row r="505">
      <c r="E505" s="35"/>
    </row>
    <row r="506">
      <c r="E506" s="35"/>
    </row>
    <row r="507">
      <c r="E507" s="35"/>
    </row>
    <row r="508">
      <c r="E508" s="35"/>
    </row>
    <row r="509">
      <c r="E509" s="35"/>
    </row>
    <row r="510">
      <c r="E510" s="35"/>
    </row>
    <row r="511">
      <c r="E511" s="35"/>
    </row>
    <row r="512">
      <c r="E512" s="35"/>
    </row>
    <row r="513">
      <c r="E513" s="35"/>
    </row>
    <row r="514">
      <c r="E514" s="35"/>
    </row>
    <row r="515">
      <c r="E515" s="35"/>
    </row>
    <row r="516">
      <c r="E516" s="35"/>
    </row>
    <row r="517">
      <c r="E517" s="35"/>
    </row>
    <row r="518">
      <c r="E518" s="35"/>
    </row>
    <row r="519">
      <c r="E519" s="35"/>
    </row>
    <row r="520">
      <c r="E520" s="35"/>
    </row>
    <row r="521">
      <c r="E521" s="35"/>
    </row>
    <row r="522">
      <c r="E522" s="35"/>
    </row>
    <row r="523">
      <c r="E523" s="35"/>
    </row>
    <row r="524">
      <c r="E524" s="35"/>
    </row>
    <row r="525">
      <c r="E525" s="35"/>
    </row>
    <row r="526">
      <c r="E526" s="35"/>
    </row>
    <row r="527">
      <c r="E527" s="35"/>
    </row>
    <row r="528">
      <c r="E528" s="35"/>
    </row>
    <row r="529">
      <c r="E529" s="35"/>
    </row>
    <row r="530">
      <c r="E530" s="35"/>
    </row>
    <row r="531">
      <c r="E531" s="35"/>
    </row>
    <row r="532">
      <c r="E532" s="35"/>
    </row>
    <row r="533">
      <c r="E533" s="35"/>
    </row>
    <row r="534">
      <c r="E534" s="35"/>
    </row>
    <row r="535">
      <c r="E535" s="35"/>
    </row>
    <row r="536">
      <c r="E536" s="35"/>
    </row>
    <row r="537">
      <c r="E537" s="35"/>
    </row>
    <row r="538">
      <c r="E538" s="35"/>
    </row>
    <row r="539">
      <c r="E539" s="35"/>
    </row>
    <row r="540">
      <c r="E540" s="35"/>
    </row>
    <row r="541">
      <c r="E541" s="35"/>
    </row>
    <row r="542">
      <c r="E542" s="35"/>
    </row>
    <row r="543">
      <c r="E543" s="35"/>
    </row>
    <row r="544">
      <c r="E544" s="35"/>
    </row>
    <row r="545">
      <c r="E545" s="35"/>
    </row>
    <row r="546">
      <c r="E546" s="35"/>
    </row>
    <row r="547">
      <c r="E547" s="35"/>
    </row>
    <row r="548">
      <c r="E548" s="35"/>
    </row>
    <row r="549">
      <c r="E549" s="35"/>
    </row>
    <row r="550">
      <c r="E550" s="35"/>
    </row>
    <row r="551">
      <c r="E551" s="35"/>
    </row>
    <row r="552">
      <c r="E552" s="35"/>
    </row>
    <row r="553">
      <c r="E553" s="35"/>
    </row>
    <row r="554">
      <c r="E554" s="35"/>
    </row>
    <row r="555">
      <c r="E555" s="35"/>
    </row>
    <row r="556">
      <c r="E556" s="35"/>
    </row>
    <row r="557">
      <c r="E557" s="35"/>
    </row>
    <row r="558">
      <c r="E558" s="35"/>
    </row>
    <row r="559">
      <c r="E559" s="35"/>
    </row>
    <row r="560">
      <c r="E560" s="35"/>
    </row>
    <row r="561">
      <c r="E561" s="35"/>
    </row>
    <row r="562">
      <c r="E562" s="35"/>
    </row>
    <row r="563">
      <c r="E563" s="35"/>
    </row>
    <row r="564">
      <c r="E564" s="35"/>
    </row>
    <row r="565">
      <c r="E565" s="35"/>
    </row>
    <row r="566">
      <c r="E566" s="35"/>
    </row>
    <row r="567">
      <c r="E567" s="35"/>
    </row>
    <row r="568">
      <c r="E568" s="35"/>
    </row>
    <row r="569">
      <c r="E569" s="35"/>
    </row>
    <row r="570">
      <c r="E570" s="35"/>
    </row>
    <row r="571">
      <c r="E571" s="35"/>
    </row>
    <row r="572">
      <c r="E572" s="35"/>
    </row>
    <row r="573">
      <c r="E573" s="35"/>
    </row>
    <row r="574">
      <c r="E574" s="35"/>
    </row>
    <row r="575">
      <c r="E575" s="35"/>
    </row>
    <row r="576">
      <c r="E576" s="35"/>
    </row>
    <row r="577">
      <c r="E577" s="35"/>
    </row>
    <row r="578">
      <c r="E578" s="35"/>
    </row>
    <row r="579">
      <c r="E579" s="35"/>
    </row>
    <row r="580">
      <c r="E580" s="35"/>
    </row>
    <row r="581">
      <c r="E581" s="35"/>
    </row>
    <row r="582">
      <c r="E582" s="35"/>
    </row>
    <row r="583">
      <c r="E583" s="35"/>
    </row>
    <row r="584">
      <c r="E584" s="35"/>
    </row>
    <row r="585">
      <c r="E585" s="35"/>
    </row>
    <row r="586">
      <c r="E586" s="35"/>
    </row>
    <row r="587">
      <c r="E587" s="35"/>
    </row>
    <row r="588">
      <c r="E588" s="35"/>
    </row>
    <row r="589">
      <c r="E589" s="35"/>
    </row>
    <row r="590">
      <c r="E590" s="35"/>
    </row>
    <row r="591">
      <c r="E591" s="35"/>
    </row>
    <row r="592">
      <c r="E592" s="35"/>
    </row>
    <row r="593">
      <c r="E593" s="35"/>
    </row>
    <row r="594">
      <c r="E594" s="35"/>
    </row>
    <row r="595">
      <c r="E595" s="35"/>
    </row>
    <row r="596">
      <c r="E596" s="35"/>
    </row>
    <row r="597">
      <c r="E597" s="35"/>
    </row>
    <row r="598">
      <c r="E598" s="35"/>
    </row>
    <row r="599">
      <c r="E599" s="35"/>
    </row>
    <row r="600">
      <c r="E600" s="35"/>
    </row>
    <row r="601">
      <c r="E601" s="35"/>
    </row>
    <row r="602">
      <c r="E602" s="35"/>
    </row>
    <row r="603">
      <c r="E603" s="35"/>
    </row>
    <row r="604">
      <c r="E604" s="35"/>
    </row>
    <row r="605">
      <c r="E605" s="35"/>
    </row>
    <row r="606">
      <c r="E606" s="35"/>
    </row>
    <row r="607">
      <c r="E607" s="35"/>
    </row>
    <row r="608">
      <c r="E608" s="35"/>
    </row>
    <row r="609">
      <c r="E609" s="35"/>
    </row>
    <row r="610">
      <c r="E610" s="35"/>
    </row>
    <row r="611">
      <c r="E611" s="35"/>
    </row>
    <row r="612">
      <c r="E612" s="35"/>
    </row>
    <row r="613">
      <c r="E613" s="35"/>
    </row>
    <row r="614">
      <c r="E614" s="35"/>
    </row>
    <row r="615">
      <c r="E615" s="35"/>
    </row>
    <row r="616">
      <c r="E616" s="35"/>
    </row>
    <row r="617">
      <c r="E617" s="35"/>
    </row>
    <row r="618">
      <c r="E618" s="35"/>
    </row>
    <row r="619">
      <c r="E619" s="35"/>
    </row>
    <row r="620">
      <c r="E620" s="35"/>
    </row>
    <row r="621">
      <c r="E621" s="35"/>
    </row>
    <row r="622">
      <c r="E622" s="35"/>
    </row>
    <row r="623">
      <c r="E623" s="35"/>
    </row>
    <row r="624">
      <c r="E624" s="35"/>
    </row>
    <row r="625">
      <c r="E625" s="35"/>
    </row>
    <row r="626">
      <c r="E626" s="35"/>
    </row>
    <row r="627">
      <c r="E627" s="35"/>
    </row>
    <row r="628">
      <c r="E628" s="35"/>
    </row>
    <row r="629">
      <c r="E629" s="35"/>
    </row>
    <row r="630">
      <c r="E630" s="35"/>
    </row>
    <row r="631">
      <c r="E631" s="35"/>
    </row>
    <row r="632">
      <c r="E632" s="35"/>
    </row>
    <row r="633">
      <c r="E633" s="35"/>
    </row>
    <row r="634">
      <c r="E634" s="35"/>
    </row>
    <row r="635">
      <c r="E635" s="35"/>
    </row>
    <row r="636">
      <c r="E636" s="35"/>
    </row>
    <row r="637">
      <c r="E637" s="35"/>
    </row>
    <row r="638">
      <c r="E638" s="35"/>
    </row>
    <row r="639">
      <c r="E639" s="35"/>
    </row>
    <row r="640">
      <c r="E640" s="35"/>
    </row>
    <row r="641">
      <c r="E641" s="35"/>
    </row>
    <row r="642">
      <c r="E642" s="35"/>
    </row>
    <row r="643">
      <c r="E643" s="35"/>
    </row>
    <row r="644">
      <c r="E644" s="35"/>
    </row>
    <row r="645">
      <c r="E645" s="35"/>
    </row>
    <row r="646">
      <c r="E646" s="35"/>
    </row>
    <row r="647">
      <c r="E647" s="35"/>
    </row>
    <row r="648">
      <c r="E648" s="35"/>
    </row>
    <row r="649">
      <c r="E649" s="35"/>
    </row>
    <row r="650">
      <c r="E650" s="35"/>
    </row>
    <row r="651">
      <c r="E651" s="35"/>
    </row>
    <row r="652">
      <c r="E652" s="35"/>
    </row>
    <row r="653">
      <c r="E653" s="35"/>
    </row>
    <row r="654">
      <c r="E654" s="35"/>
    </row>
    <row r="655">
      <c r="E655" s="35"/>
    </row>
    <row r="656">
      <c r="E656" s="35"/>
    </row>
    <row r="657">
      <c r="E657" s="35"/>
    </row>
    <row r="658">
      <c r="E658" s="35"/>
    </row>
    <row r="659">
      <c r="E659" s="35"/>
    </row>
    <row r="660">
      <c r="E660" s="35"/>
    </row>
    <row r="661">
      <c r="E661" s="35"/>
    </row>
    <row r="662">
      <c r="E662" s="35"/>
    </row>
    <row r="663">
      <c r="E663" s="35"/>
    </row>
    <row r="664">
      <c r="E664" s="35"/>
    </row>
    <row r="665">
      <c r="E665" s="35"/>
    </row>
    <row r="666">
      <c r="E666" s="35"/>
    </row>
    <row r="667">
      <c r="E667" s="35"/>
    </row>
    <row r="668">
      <c r="E668" s="35"/>
    </row>
    <row r="669">
      <c r="E669" s="35"/>
    </row>
    <row r="670">
      <c r="E670" s="35"/>
    </row>
    <row r="671">
      <c r="E671" s="35"/>
    </row>
    <row r="672">
      <c r="E672" s="35"/>
    </row>
    <row r="673">
      <c r="E673" s="35"/>
    </row>
    <row r="674">
      <c r="E674" s="35"/>
    </row>
    <row r="675">
      <c r="E675" s="35"/>
    </row>
    <row r="676">
      <c r="E676" s="35"/>
    </row>
    <row r="677">
      <c r="E677" s="35"/>
    </row>
    <row r="678">
      <c r="E678" s="35"/>
    </row>
    <row r="679">
      <c r="E679" s="35"/>
    </row>
    <row r="680">
      <c r="E680" s="35"/>
    </row>
    <row r="681">
      <c r="E681" s="35"/>
    </row>
    <row r="682">
      <c r="E682" s="35"/>
    </row>
    <row r="683">
      <c r="E683" s="35"/>
    </row>
    <row r="684">
      <c r="E684" s="35"/>
    </row>
    <row r="685">
      <c r="E685" s="35"/>
    </row>
    <row r="686">
      <c r="E686" s="35"/>
    </row>
    <row r="687">
      <c r="E687" s="35"/>
    </row>
    <row r="688">
      <c r="E688" s="35"/>
    </row>
    <row r="689">
      <c r="E689" s="35"/>
    </row>
    <row r="690">
      <c r="E690" s="35"/>
    </row>
    <row r="691">
      <c r="E691" s="35"/>
    </row>
    <row r="692">
      <c r="E692" s="35"/>
    </row>
    <row r="693">
      <c r="E693" s="35"/>
    </row>
    <row r="694">
      <c r="E694" s="35"/>
    </row>
    <row r="695">
      <c r="E695" s="35"/>
    </row>
    <row r="696">
      <c r="E696" s="35"/>
    </row>
    <row r="697">
      <c r="E697" s="35"/>
    </row>
    <row r="698">
      <c r="E698" s="35"/>
    </row>
    <row r="699">
      <c r="E699" s="35"/>
    </row>
    <row r="700">
      <c r="E700" s="35"/>
    </row>
    <row r="701">
      <c r="E701" s="35"/>
    </row>
    <row r="702">
      <c r="E702" s="35"/>
    </row>
    <row r="703">
      <c r="E703" s="35"/>
    </row>
    <row r="704">
      <c r="E704" s="35"/>
    </row>
    <row r="705">
      <c r="E705" s="35"/>
    </row>
    <row r="706">
      <c r="E706" s="35"/>
    </row>
    <row r="707">
      <c r="E707" s="35"/>
    </row>
    <row r="708">
      <c r="E708" s="35"/>
    </row>
    <row r="709">
      <c r="E709" s="35"/>
    </row>
    <row r="710">
      <c r="E710" s="35"/>
    </row>
    <row r="711">
      <c r="E711" s="35"/>
    </row>
    <row r="712">
      <c r="E712" s="35"/>
    </row>
    <row r="713">
      <c r="E713" s="35"/>
    </row>
    <row r="714">
      <c r="E714" s="35"/>
    </row>
    <row r="715">
      <c r="E715" s="35"/>
    </row>
    <row r="716">
      <c r="E716" s="35"/>
    </row>
    <row r="717">
      <c r="E717" s="35"/>
    </row>
    <row r="718">
      <c r="E718" s="35"/>
    </row>
    <row r="719">
      <c r="E719" s="35"/>
    </row>
    <row r="720">
      <c r="E720" s="35"/>
    </row>
    <row r="721">
      <c r="E721" s="35"/>
    </row>
    <row r="722">
      <c r="E722" s="35"/>
    </row>
    <row r="723">
      <c r="E723" s="35"/>
    </row>
    <row r="724">
      <c r="E724" s="35"/>
    </row>
    <row r="725">
      <c r="E725" s="35"/>
    </row>
    <row r="726">
      <c r="E726" s="35"/>
    </row>
    <row r="727">
      <c r="E727" s="35"/>
    </row>
    <row r="728">
      <c r="E728" s="35"/>
    </row>
    <row r="729">
      <c r="E729" s="35"/>
    </row>
    <row r="730">
      <c r="E730" s="35"/>
    </row>
    <row r="731">
      <c r="E731" s="35"/>
    </row>
    <row r="732">
      <c r="E732" s="35"/>
    </row>
    <row r="733">
      <c r="E733" s="35"/>
    </row>
    <row r="734">
      <c r="E734" s="35"/>
    </row>
    <row r="735">
      <c r="E735" s="35"/>
    </row>
    <row r="736">
      <c r="E736" s="35"/>
    </row>
    <row r="737">
      <c r="E737" s="35"/>
    </row>
    <row r="738">
      <c r="E738" s="35"/>
    </row>
    <row r="739">
      <c r="E739" s="35"/>
    </row>
    <row r="740">
      <c r="E740" s="35"/>
    </row>
    <row r="741">
      <c r="E741" s="35"/>
    </row>
    <row r="742">
      <c r="E742" s="35"/>
    </row>
    <row r="743">
      <c r="E743" s="35"/>
    </row>
    <row r="744">
      <c r="E744" s="35"/>
    </row>
    <row r="745">
      <c r="E745" s="35"/>
    </row>
    <row r="746">
      <c r="E746" s="35"/>
    </row>
    <row r="747">
      <c r="E747" s="35"/>
    </row>
    <row r="748">
      <c r="E748" s="35"/>
    </row>
    <row r="749">
      <c r="E749" s="35"/>
    </row>
    <row r="750">
      <c r="E750" s="35"/>
    </row>
    <row r="751">
      <c r="E751" s="35"/>
    </row>
    <row r="752">
      <c r="E752" s="35"/>
    </row>
    <row r="753">
      <c r="E753" s="35"/>
    </row>
    <row r="754">
      <c r="E754" s="35"/>
    </row>
    <row r="755">
      <c r="E755" s="35"/>
    </row>
    <row r="756">
      <c r="E756" s="35"/>
    </row>
    <row r="757">
      <c r="E757" s="35"/>
    </row>
    <row r="758">
      <c r="E758" s="35"/>
    </row>
    <row r="759">
      <c r="E759" s="35"/>
    </row>
    <row r="760">
      <c r="E760" s="35"/>
    </row>
    <row r="761">
      <c r="E761" s="35"/>
    </row>
    <row r="762">
      <c r="E762" s="35"/>
    </row>
    <row r="763">
      <c r="E763" s="35"/>
    </row>
    <row r="764">
      <c r="E764" s="35"/>
    </row>
    <row r="765">
      <c r="E765" s="35"/>
    </row>
    <row r="766">
      <c r="E766" s="35"/>
    </row>
    <row r="767">
      <c r="E767" s="35"/>
    </row>
    <row r="768">
      <c r="E768" s="35"/>
    </row>
    <row r="769">
      <c r="E769" s="35"/>
    </row>
    <row r="770">
      <c r="E770" s="35"/>
    </row>
    <row r="771">
      <c r="E771" s="35"/>
    </row>
    <row r="772">
      <c r="E772" s="35"/>
    </row>
    <row r="773">
      <c r="E773" s="35"/>
    </row>
    <row r="774">
      <c r="E774" s="35"/>
    </row>
    <row r="775">
      <c r="E775" s="35"/>
    </row>
    <row r="776">
      <c r="E776" s="35"/>
    </row>
    <row r="777">
      <c r="E777" s="35"/>
    </row>
    <row r="778">
      <c r="E778" s="35"/>
    </row>
    <row r="779">
      <c r="E779" s="35"/>
    </row>
    <row r="780">
      <c r="E780" s="35"/>
    </row>
    <row r="781">
      <c r="E781" s="35"/>
    </row>
    <row r="782">
      <c r="E782" s="35"/>
    </row>
    <row r="783">
      <c r="E783" s="35"/>
    </row>
    <row r="784">
      <c r="E784" s="35"/>
    </row>
    <row r="785">
      <c r="E785" s="35"/>
    </row>
    <row r="786">
      <c r="E786" s="35"/>
    </row>
    <row r="787">
      <c r="E787" s="35"/>
    </row>
    <row r="788">
      <c r="E788" s="35"/>
    </row>
    <row r="789">
      <c r="E789" s="35"/>
    </row>
    <row r="790">
      <c r="E790" s="35"/>
    </row>
    <row r="791">
      <c r="E791" s="35"/>
    </row>
    <row r="792">
      <c r="E792" s="35"/>
    </row>
    <row r="793">
      <c r="E793" s="35"/>
    </row>
    <row r="794">
      <c r="E794" s="35"/>
    </row>
    <row r="795">
      <c r="E795" s="35"/>
    </row>
    <row r="796">
      <c r="E796" s="35"/>
    </row>
    <row r="797">
      <c r="E797" s="35"/>
    </row>
    <row r="798">
      <c r="E798" s="35"/>
    </row>
    <row r="799">
      <c r="E799" s="35"/>
    </row>
    <row r="800">
      <c r="E800" s="35"/>
    </row>
    <row r="801">
      <c r="E801" s="35"/>
    </row>
    <row r="802">
      <c r="E802" s="35"/>
    </row>
    <row r="803">
      <c r="E803" s="35"/>
    </row>
    <row r="804">
      <c r="E804" s="35"/>
    </row>
    <row r="805">
      <c r="E805" s="35"/>
    </row>
    <row r="806">
      <c r="E806" s="35"/>
    </row>
    <row r="807">
      <c r="E807" s="35"/>
    </row>
    <row r="808">
      <c r="E808" s="35"/>
    </row>
    <row r="809">
      <c r="E809" s="35"/>
    </row>
    <row r="810">
      <c r="E810" s="35"/>
    </row>
    <row r="811">
      <c r="E811" s="35"/>
    </row>
    <row r="812">
      <c r="E812" s="35"/>
    </row>
    <row r="813">
      <c r="E813" s="35"/>
    </row>
    <row r="814">
      <c r="E814" s="35"/>
    </row>
    <row r="815">
      <c r="E815" s="35"/>
    </row>
    <row r="816">
      <c r="E816" s="35"/>
    </row>
    <row r="817">
      <c r="E817" s="35"/>
    </row>
    <row r="818">
      <c r="E818" s="35"/>
    </row>
    <row r="819">
      <c r="E819" s="35"/>
    </row>
    <row r="820">
      <c r="E820" s="35"/>
    </row>
    <row r="821">
      <c r="E821" s="35"/>
    </row>
    <row r="822">
      <c r="E822" s="35"/>
    </row>
    <row r="823">
      <c r="E823" s="35"/>
    </row>
    <row r="824">
      <c r="E824" s="35"/>
    </row>
    <row r="825">
      <c r="E825" s="35"/>
    </row>
    <row r="826">
      <c r="E826" s="35"/>
    </row>
    <row r="827">
      <c r="E827" s="35"/>
    </row>
    <row r="828">
      <c r="E828" s="35"/>
    </row>
    <row r="829">
      <c r="E829" s="35"/>
    </row>
    <row r="830">
      <c r="E830" s="35"/>
    </row>
    <row r="831">
      <c r="E831" s="35"/>
    </row>
    <row r="832">
      <c r="E832" s="35"/>
    </row>
    <row r="833">
      <c r="E833" s="35"/>
    </row>
    <row r="834">
      <c r="E834" s="35"/>
    </row>
    <row r="835">
      <c r="E835" s="35"/>
    </row>
    <row r="836">
      <c r="E836" s="35"/>
    </row>
    <row r="837">
      <c r="E837" s="35"/>
    </row>
    <row r="838">
      <c r="E838" s="35"/>
    </row>
    <row r="839">
      <c r="E839" s="35"/>
    </row>
    <row r="840">
      <c r="E840" s="35"/>
    </row>
    <row r="841">
      <c r="E841" s="35"/>
    </row>
    <row r="842">
      <c r="E842" s="35"/>
    </row>
    <row r="843">
      <c r="E843" s="35"/>
    </row>
    <row r="844">
      <c r="E844" s="35"/>
    </row>
    <row r="845">
      <c r="E845" s="35"/>
    </row>
    <row r="846">
      <c r="E846" s="35"/>
    </row>
    <row r="847">
      <c r="E847" s="35"/>
    </row>
    <row r="848">
      <c r="E848" s="35"/>
    </row>
    <row r="849">
      <c r="E849" s="35"/>
    </row>
    <row r="850">
      <c r="E850" s="35"/>
    </row>
    <row r="851">
      <c r="E851" s="35"/>
    </row>
    <row r="852">
      <c r="E852" s="35"/>
    </row>
    <row r="853">
      <c r="E853" s="35"/>
    </row>
    <row r="854">
      <c r="E854" s="35"/>
    </row>
    <row r="855">
      <c r="E855" s="35"/>
    </row>
    <row r="856">
      <c r="E856" s="35"/>
    </row>
    <row r="857">
      <c r="E857" s="35"/>
    </row>
    <row r="858">
      <c r="E858" s="35"/>
    </row>
    <row r="859">
      <c r="E859" s="35"/>
    </row>
    <row r="860">
      <c r="E860" s="35"/>
    </row>
    <row r="861">
      <c r="E861" s="35"/>
    </row>
    <row r="862">
      <c r="E862" s="35"/>
    </row>
    <row r="863">
      <c r="E863" s="35"/>
    </row>
    <row r="864">
      <c r="E864" s="35"/>
    </row>
    <row r="865">
      <c r="E865" s="35"/>
    </row>
    <row r="866">
      <c r="E866" s="35"/>
    </row>
    <row r="867">
      <c r="E867" s="35"/>
    </row>
    <row r="868">
      <c r="E868" s="35"/>
    </row>
    <row r="869">
      <c r="E869" s="35"/>
    </row>
    <row r="870">
      <c r="E870" s="35"/>
    </row>
    <row r="871">
      <c r="E871" s="35"/>
    </row>
    <row r="872">
      <c r="E872" s="35"/>
    </row>
    <row r="873">
      <c r="E873" s="35"/>
    </row>
    <row r="874">
      <c r="E874" s="35"/>
    </row>
    <row r="875">
      <c r="E875" s="35"/>
    </row>
    <row r="876">
      <c r="E876" s="35"/>
    </row>
    <row r="877">
      <c r="E877" s="35"/>
    </row>
    <row r="878">
      <c r="E878" s="35"/>
    </row>
    <row r="879">
      <c r="E879" s="35"/>
    </row>
    <row r="880">
      <c r="E880" s="35"/>
    </row>
    <row r="881">
      <c r="E881" s="35"/>
    </row>
    <row r="882">
      <c r="E882" s="35"/>
    </row>
    <row r="883">
      <c r="E883" s="35"/>
    </row>
    <row r="884">
      <c r="E884" s="35"/>
    </row>
    <row r="885">
      <c r="E885" s="35"/>
    </row>
    <row r="886">
      <c r="E886" s="35"/>
    </row>
    <row r="887">
      <c r="E887" s="35"/>
    </row>
    <row r="888">
      <c r="E888" s="35"/>
    </row>
    <row r="889">
      <c r="E889" s="35"/>
    </row>
    <row r="890">
      <c r="E890" s="35"/>
    </row>
    <row r="891">
      <c r="E891" s="35"/>
    </row>
    <row r="892">
      <c r="E892" s="35"/>
    </row>
    <row r="893">
      <c r="E893" s="35"/>
    </row>
    <row r="894">
      <c r="E894" s="35"/>
    </row>
    <row r="895">
      <c r="E895" s="35"/>
    </row>
    <row r="896">
      <c r="E896" s="35"/>
    </row>
    <row r="897">
      <c r="E897" s="35"/>
    </row>
    <row r="898">
      <c r="E898" s="35"/>
    </row>
    <row r="899">
      <c r="E899" s="35"/>
    </row>
    <row r="900">
      <c r="E900" s="35"/>
    </row>
    <row r="901">
      <c r="E901" s="35"/>
    </row>
    <row r="902">
      <c r="E902" s="35"/>
    </row>
    <row r="903">
      <c r="E903" s="35"/>
    </row>
    <row r="904">
      <c r="E904" s="35"/>
    </row>
    <row r="905">
      <c r="E905" s="35"/>
    </row>
    <row r="906">
      <c r="E906" s="35"/>
    </row>
    <row r="907">
      <c r="E907" s="35"/>
    </row>
    <row r="908">
      <c r="E908" s="35"/>
    </row>
    <row r="909">
      <c r="E909" s="35"/>
    </row>
    <row r="910">
      <c r="E910" s="35"/>
    </row>
    <row r="911">
      <c r="E911" s="35"/>
    </row>
    <row r="912">
      <c r="E912" s="35"/>
    </row>
    <row r="913">
      <c r="E913" s="35"/>
    </row>
    <row r="914">
      <c r="E914" s="35"/>
    </row>
    <row r="915">
      <c r="E915" s="35"/>
    </row>
    <row r="916">
      <c r="E916" s="35"/>
    </row>
    <row r="917">
      <c r="E917" s="35"/>
    </row>
    <row r="918">
      <c r="E918" s="35"/>
    </row>
    <row r="919">
      <c r="E919" s="35"/>
    </row>
    <row r="920">
      <c r="E920" s="35"/>
    </row>
    <row r="921">
      <c r="E921" s="35"/>
    </row>
    <row r="922">
      <c r="E922" s="35"/>
    </row>
    <row r="923">
      <c r="E923" s="35"/>
    </row>
    <row r="924">
      <c r="E924" s="35"/>
    </row>
    <row r="925">
      <c r="E925" s="35"/>
    </row>
    <row r="926">
      <c r="E926" s="35"/>
    </row>
    <row r="927">
      <c r="E927" s="35"/>
    </row>
    <row r="928">
      <c r="E928" s="35"/>
    </row>
    <row r="929">
      <c r="E929" s="35"/>
    </row>
    <row r="930">
      <c r="E930" s="35"/>
    </row>
    <row r="931">
      <c r="E931" s="35"/>
    </row>
    <row r="932">
      <c r="E932" s="35"/>
    </row>
    <row r="933">
      <c r="E933" s="35"/>
    </row>
    <row r="934">
      <c r="E934" s="35"/>
    </row>
    <row r="935">
      <c r="E935" s="35"/>
    </row>
    <row r="936">
      <c r="E936" s="35"/>
    </row>
    <row r="937">
      <c r="E937" s="35"/>
    </row>
    <row r="938">
      <c r="E938" s="35"/>
    </row>
    <row r="939">
      <c r="E939" s="35"/>
    </row>
    <row r="940">
      <c r="E940" s="35"/>
    </row>
    <row r="941">
      <c r="E941" s="35"/>
    </row>
    <row r="942">
      <c r="E942" s="35"/>
    </row>
    <row r="943">
      <c r="E943" s="35"/>
    </row>
    <row r="944">
      <c r="E944" s="35"/>
    </row>
    <row r="945">
      <c r="E945" s="35"/>
    </row>
    <row r="946">
      <c r="E946" s="35"/>
    </row>
    <row r="947">
      <c r="E947" s="35"/>
    </row>
    <row r="948">
      <c r="E948" s="35"/>
    </row>
    <row r="949">
      <c r="E949" s="35"/>
    </row>
    <row r="950">
      <c r="E950" s="35"/>
    </row>
    <row r="951">
      <c r="E951" s="35"/>
    </row>
    <row r="952">
      <c r="E952" s="35"/>
    </row>
    <row r="953">
      <c r="E953" s="35"/>
    </row>
    <row r="954">
      <c r="E954" s="35"/>
    </row>
    <row r="955">
      <c r="E955" s="35"/>
    </row>
    <row r="956">
      <c r="E956" s="35"/>
    </row>
    <row r="957">
      <c r="E957" s="35"/>
    </row>
    <row r="958">
      <c r="E958" s="35"/>
    </row>
    <row r="959">
      <c r="E959" s="35"/>
    </row>
    <row r="960">
      <c r="E960" s="35"/>
    </row>
    <row r="961">
      <c r="E961" s="35"/>
    </row>
    <row r="962">
      <c r="E962" s="35"/>
    </row>
    <row r="963">
      <c r="E963" s="35"/>
    </row>
    <row r="964">
      <c r="E964" s="35"/>
    </row>
    <row r="965">
      <c r="E965" s="35"/>
    </row>
    <row r="966">
      <c r="E966" s="35"/>
    </row>
    <row r="967">
      <c r="E967" s="35"/>
    </row>
    <row r="968">
      <c r="E968" s="35"/>
    </row>
    <row r="969">
      <c r="E969" s="35"/>
    </row>
    <row r="970">
      <c r="E970" s="35"/>
    </row>
    <row r="971">
      <c r="E971" s="35"/>
    </row>
    <row r="972">
      <c r="E972" s="35"/>
    </row>
    <row r="973">
      <c r="E973" s="35"/>
    </row>
    <row r="974">
      <c r="E974" s="35"/>
    </row>
    <row r="975">
      <c r="E975" s="35"/>
    </row>
    <row r="976">
      <c r="E976" s="35"/>
    </row>
    <row r="977">
      <c r="E977" s="35"/>
    </row>
    <row r="978">
      <c r="E978" s="35"/>
    </row>
    <row r="979">
      <c r="E979" s="35"/>
    </row>
    <row r="980">
      <c r="E980" s="35"/>
    </row>
    <row r="981">
      <c r="E981" s="35"/>
    </row>
    <row r="982">
      <c r="E982" s="35"/>
    </row>
    <row r="983">
      <c r="E983" s="35"/>
    </row>
    <row r="984">
      <c r="E984" s="35"/>
    </row>
    <row r="985">
      <c r="E985" s="35"/>
    </row>
    <row r="986">
      <c r="E986" s="35"/>
    </row>
    <row r="987">
      <c r="E987" s="35"/>
    </row>
    <row r="988">
      <c r="E988" s="35"/>
    </row>
    <row r="989">
      <c r="E989" s="35"/>
    </row>
    <row r="990">
      <c r="E990" s="35"/>
    </row>
    <row r="991">
      <c r="E991" s="35"/>
    </row>
    <row r="992">
      <c r="E992" s="35"/>
    </row>
    <row r="993">
      <c r="E993" s="35"/>
    </row>
    <row r="994">
      <c r="E994" s="35"/>
    </row>
    <row r="995">
      <c r="E995" s="35"/>
    </row>
    <row r="996">
      <c r="E996" s="35"/>
    </row>
    <row r="997">
      <c r="E997" s="35"/>
    </row>
    <row r="998">
      <c r="E998" s="35"/>
    </row>
    <row r="999">
      <c r="E999" s="35"/>
    </row>
    <row r="1000">
      <c r="E100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5" max="5" width="17.38"/>
  </cols>
  <sheetData>
    <row r="1">
      <c r="E1" s="35"/>
      <c r="H1" s="9"/>
    </row>
    <row r="2">
      <c r="E2" s="34" t="s">
        <v>27</v>
      </c>
      <c r="F2" s="11" t="s">
        <v>288</v>
      </c>
      <c r="G2" s="11" t="s">
        <v>289</v>
      </c>
      <c r="H2" s="7" t="s">
        <v>290</v>
      </c>
    </row>
    <row r="3">
      <c r="E3" s="34" t="s">
        <v>35</v>
      </c>
      <c r="F3" s="8">
        <v>480.0</v>
      </c>
      <c r="G3" s="23">
        <v>-63.48</v>
      </c>
      <c r="H3" s="9">
        <f t="shared" ref="H3:H5" si="1">G3/F3</f>
        <v>-0.13225</v>
      </c>
    </row>
    <row r="4">
      <c r="E4" s="34" t="s">
        <v>244</v>
      </c>
      <c r="F4" s="8">
        <v>449.0</v>
      </c>
      <c r="G4" s="23">
        <v>-29.65</v>
      </c>
      <c r="H4" s="9">
        <f t="shared" si="1"/>
        <v>-0.06603563474</v>
      </c>
    </row>
    <row r="5">
      <c r="E5" s="11" t="s">
        <v>287</v>
      </c>
      <c r="F5" s="8">
        <v>929.0</v>
      </c>
      <c r="G5" s="23">
        <v>-93.12999999999998</v>
      </c>
      <c r="H5" s="9">
        <f t="shared" si="1"/>
        <v>-0.100247578</v>
      </c>
    </row>
    <row r="6">
      <c r="H6" s="9"/>
    </row>
    <row r="7">
      <c r="E7" s="35"/>
      <c r="H7" s="9"/>
    </row>
    <row r="8">
      <c r="E8" s="35"/>
      <c r="H8" s="9"/>
    </row>
    <row r="9">
      <c r="E9" s="35"/>
      <c r="H9" s="9"/>
    </row>
    <row r="10">
      <c r="E10" s="35"/>
      <c r="H10" s="9"/>
    </row>
    <row r="11">
      <c r="E11" s="35"/>
      <c r="H11" s="9"/>
    </row>
    <row r="12">
      <c r="E12" s="35"/>
      <c r="H12" s="9"/>
    </row>
    <row r="13">
      <c r="E13" s="35"/>
      <c r="H13" s="9"/>
    </row>
    <row r="14">
      <c r="E14" s="35"/>
      <c r="H14" s="9"/>
    </row>
    <row r="15">
      <c r="E15" s="35"/>
      <c r="H15" s="9"/>
    </row>
    <row r="16">
      <c r="E16" s="35"/>
      <c r="H16" s="9"/>
    </row>
    <row r="17">
      <c r="E17" s="35"/>
      <c r="H17" s="9"/>
    </row>
    <row r="18">
      <c r="E18" s="35"/>
      <c r="H18" s="9"/>
    </row>
    <row r="19">
      <c r="E19" s="35"/>
      <c r="H19" s="9"/>
    </row>
    <row r="20">
      <c r="E20" s="35"/>
      <c r="H20" s="9"/>
    </row>
    <row r="21">
      <c r="E21" s="35"/>
      <c r="H21" s="9"/>
    </row>
    <row r="22">
      <c r="E22" s="35"/>
      <c r="H22" s="9"/>
    </row>
    <row r="23">
      <c r="E23" s="35"/>
      <c r="H23" s="9"/>
    </row>
    <row r="24">
      <c r="E24" s="35"/>
      <c r="H24" s="9"/>
    </row>
    <row r="25">
      <c r="E25" s="35"/>
      <c r="H25" s="9"/>
    </row>
    <row r="26">
      <c r="E26" s="35"/>
      <c r="H26" s="9"/>
    </row>
    <row r="27">
      <c r="E27" s="35"/>
      <c r="H27" s="9"/>
    </row>
    <row r="28">
      <c r="E28" s="35"/>
      <c r="H28" s="9"/>
    </row>
    <row r="29">
      <c r="E29" s="35"/>
      <c r="H29" s="9"/>
    </row>
    <row r="30">
      <c r="E30" s="35"/>
      <c r="H30" s="9"/>
    </row>
    <row r="31">
      <c r="E31" s="35"/>
      <c r="H31" s="9"/>
    </row>
    <row r="32">
      <c r="E32" s="35"/>
      <c r="H32" s="9"/>
    </row>
    <row r="33">
      <c r="E33" s="35"/>
      <c r="H33" s="9"/>
    </row>
    <row r="34">
      <c r="E34" s="35"/>
      <c r="H34" s="9"/>
    </row>
    <row r="35">
      <c r="E35" s="35"/>
      <c r="H35" s="9"/>
    </row>
    <row r="36">
      <c r="E36" s="35"/>
      <c r="H36" s="9"/>
    </row>
    <row r="37">
      <c r="E37" s="35"/>
      <c r="H37" s="9"/>
    </row>
    <row r="38">
      <c r="E38" s="35"/>
      <c r="H38" s="9"/>
    </row>
    <row r="39">
      <c r="E39" s="35"/>
      <c r="H39" s="9"/>
    </row>
    <row r="40">
      <c r="E40" s="35"/>
      <c r="H40" s="9"/>
    </row>
    <row r="41">
      <c r="E41" s="35"/>
      <c r="H41" s="9"/>
    </row>
    <row r="42">
      <c r="E42" s="35"/>
      <c r="H42" s="9"/>
    </row>
    <row r="43">
      <c r="E43" s="35"/>
      <c r="H43" s="9"/>
    </row>
    <row r="44">
      <c r="E44" s="35"/>
      <c r="H44" s="9"/>
    </row>
    <row r="45">
      <c r="E45" s="35"/>
      <c r="H45" s="9"/>
    </row>
    <row r="46">
      <c r="E46" s="35"/>
      <c r="H46" s="9"/>
    </row>
    <row r="47">
      <c r="E47" s="35"/>
      <c r="H47" s="9"/>
    </row>
    <row r="48">
      <c r="E48" s="35"/>
      <c r="H48" s="9"/>
    </row>
    <row r="49">
      <c r="E49" s="35"/>
      <c r="H49" s="9"/>
    </row>
    <row r="50">
      <c r="E50" s="35"/>
      <c r="H50" s="9"/>
    </row>
    <row r="51">
      <c r="E51" s="35"/>
      <c r="H51" s="9"/>
    </row>
    <row r="52">
      <c r="E52" s="35"/>
      <c r="H52" s="9"/>
    </row>
    <row r="53">
      <c r="E53" s="35"/>
      <c r="H53" s="9"/>
    </row>
    <row r="54">
      <c r="E54" s="35"/>
      <c r="H54" s="9"/>
    </row>
    <row r="55">
      <c r="E55" s="35"/>
      <c r="H55" s="9"/>
    </row>
    <row r="56">
      <c r="E56" s="35"/>
      <c r="H56" s="9"/>
    </row>
    <row r="57">
      <c r="E57" s="35"/>
      <c r="H57" s="9"/>
    </row>
    <row r="58">
      <c r="E58" s="35"/>
      <c r="H58" s="9"/>
    </row>
    <row r="59">
      <c r="E59" s="35"/>
      <c r="H59" s="9"/>
    </row>
    <row r="60">
      <c r="E60" s="35"/>
      <c r="H60" s="9"/>
    </row>
    <row r="61">
      <c r="E61" s="35"/>
      <c r="H61" s="9"/>
    </row>
    <row r="62">
      <c r="E62" s="35"/>
      <c r="H62" s="9"/>
    </row>
    <row r="63">
      <c r="E63" s="35"/>
      <c r="H63" s="9"/>
    </row>
    <row r="64">
      <c r="E64" s="35"/>
      <c r="H64" s="9"/>
    </row>
    <row r="65">
      <c r="E65" s="35"/>
      <c r="H65" s="9"/>
    </row>
    <row r="66">
      <c r="E66" s="35"/>
      <c r="H66" s="9"/>
    </row>
    <row r="67">
      <c r="E67" s="35"/>
      <c r="H67" s="9"/>
    </row>
    <row r="68">
      <c r="E68" s="35"/>
      <c r="H68" s="9"/>
    </row>
    <row r="69">
      <c r="E69" s="35"/>
      <c r="H69" s="9"/>
    </row>
    <row r="70">
      <c r="E70" s="35"/>
      <c r="H70" s="9"/>
    </row>
    <row r="71">
      <c r="E71" s="35"/>
      <c r="H71" s="9"/>
    </row>
    <row r="72">
      <c r="E72" s="35"/>
      <c r="H72" s="9"/>
    </row>
    <row r="73">
      <c r="E73" s="35"/>
      <c r="H73" s="9"/>
    </row>
    <row r="74">
      <c r="E74" s="35"/>
      <c r="H74" s="9"/>
    </row>
    <row r="75">
      <c r="E75" s="35"/>
      <c r="H75" s="9"/>
    </row>
    <row r="76">
      <c r="E76" s="35"/>
      <c r="H76" s="9"/>
    </row>
    <row r="77">
      <c r="E77" s="35"/>
      <c r="H77" s="9"/>
    </row>
    <row r="78">
      <c r="E78" s="35"/>
      <c r="H78" s="9"/>
    </row>
    <row r="79">
      <c r="E79" s="35"/>
      <c r="H79" s="9"/>
    </row>
    <row r="80">
      <c r="E80" s="35"/>
      <c r="H80" s="9"/>
    </row>
    <row r="81">
      <c r="E81" s="35"/>
      <c r="H81" s="9"/>
    </row>
    <row r="82">
      <c r="E82" s="35"/>
      <c r="H82" s="9"/>
    </row>
    <row r="83">
      <c r="E83" s="35"/>
      <c r="H83" s="9"/>
    </row>
    <row r="84">
      <c r="E84" s="35"/>
      <c r="H84" s="9"/>
    </row>
    <row r="85">
      <c r="E85" s="35"/>
      <c r="H85" s="9"/>
    </row>
    <row r="86">
      <c r="E86" s="35"/>
      <c r="H86" s="9"/>
    </row>
    <row r="87">
      <c r="E87" s="35"/>
      <c r="H87" s="9"/>
    </row>
    <row r="88">
      <c r="E88" s="35"/>
      <c r="H88" s="9"/>
    </row>
    <row r="89">
      <c r="E89" s="35"/>
      <c r="H89" s="9"/>
    </row>
    <row r="90">
      <c r="E90" s="35"/>
      <c r="H90" s="9"/>
    </row>
    <row r="91">
      <c r="E91" s="35"/>
      <c r="H91" s="9"/>
    </row>
    <row r="92">
      <c r="E92" s="35"/>
      <c r="H92" s="9"/>
    </row>
    <row r="93">
      <c r="E93" s="35"/>
      <c r="H93" s="9"/>
    </row>
    <row r="94">
      <c r="E94" s="35"/>
      <c r="H94" s="9"/>
    </row>
    <row r="95">
      <c r="E95" s="35"/>
      <c r="H95" s="9"/>
    </row>
    <row r="96">
      <c r="E96" s="35"/>
      <c r="H96" s="9"/>
    </row>
    <row r="97">
      <c r="E97" s="35"/>
      <c r="H97" s="9"/>
    </row>
    <row r="98">
      <c r="E98" s="35"/>
      <c r="H98" s="9"/>
    </row>
    <row r="99">
      <c r="E99" s="35"/>
      <c r="H99" s="9"/>
    </row>
    <row r="100">
      <c r="E100" s="35"/>
      <c r="H100" s="9"/>
    </row>
    <row r="101">
      <c r="E101" s="35"/>
      <c r="H101" s="9"/>
    </row>
    <row r="102">
      <c r="E102" s="35"/>
      <c r="H102" s="9"/>
    </row>
    <row r="103">
      <c r="E103" s="35"/>
      <c r="H103" s="9"/>
    </row>
    <row r="104">
      <c r="E104" s="35"/>
      <c r="H104" s="9"/>
    </row>
    <row r="105">
      <c r="E105" s="35"/>
      <c r="H105" s="9"/>
    </row>
    <row r="106">
      <c r="E106" s="35"/>
      <c r="H106" s="9"/>
    </row>
    <row r="107">
      <c r="E107" s="35"/>
      <c r="H107" s="9"/>
    </row>
    <row r="108">
      <c r="E108" s="35"/>
      <c r="H108" s="9"/>
    </row>
    <row r="109">
      <c r="E109" s="35"/>
      <c r="H109" s="9"/>
    </row>
    <row r="110">
      <c r="E110" s="35"/>
      <c r="H110" s="9"/>
    </row>
    <row r="111">
      <c r="E111" s="35"/>
      <c r="H111" s="9"/>
    </row>
    <row r="112">
      <c r="E112" s="35"/>
      <c r="H112" s="9"/>
    </row>
    <row r="113">
      <c r="E113" s="35"/>
      <c r="H113" s="9"/>
    </row>
    <row r="114">
      <c r="E114" s="35"/>
      <c r="H114" s="9"/>
    </row>
    <row r="115">
      <c r="E115" s="35"/>
      <c r="H115" s="9"/>
    </row>
    <row r="116">
      <c r="E116" s="35"/>
      <c r="H116" s="9"/>
    </row>
    <row r="117">
      <c r="E117" s="35"/>
      <c r="H117" s="9"/>
    </row>
    <row r="118">
      <c r="E118" s="35"/>
      <c r="H118" s="9"/>
    </row>
    <row r="119">
      <c r="E119" s="35"/>
      <c r="H119" s="9"/>
    </row>
    <row r="120">
      <c r="E120" s="35"/>
      <c r="H120" s="9"/>
    </row>
    <row r="121">
      <c r="E121" s="35"/>
      <c r="H121" s="9"/>
    </row>
    <row r="122">
      <c r="E122" s="35"/>
      <c r="H122" s="9"/>
    </row>
    <row r="123">
      <c r="E123" s="35"/>
      <c r="H123" s="9"/>
    </row>
    <row r="124">
      <c r="E124" s="35"/>
      <c r="H124" s="9"/>
    </row>
    <row r="125">
      <c r="E125" s="35"/>
      <c r="H125" s="9"/>
    </row>
    <row r="126">
      <c r="E126" s="35"/>
      <c r="H126" s="9"/>
    </row>
    <row r="127">
      <c r="E127" s="35"/>
      <c r="H127" s="9"/>
    </row>
    <row r="128">
      <c r="E128" s="35"/>
      <c r="H128" s="9"/>
    </row>
    <row r="129">
      <c r="E129" s="35"/>
      <c r="H129" s="9"/>
    </row>
    <row r="130">
      <c r="E130" s="35"/>
      <c r="H130" s="9"/>
    </row>
    <row r="131">
      <c r="E131" s="35"/>
      <c r="H131" s="9"/>
    </row>
    <row r="132">
      <c r="E132" s="35"/>
      <c r="H132" s="9"/>
    </row>
    <row r="133">
      <c r="E133" s="35"/>
      <c r="H133" s="9"/>
    </row>
    <row r="134">
      <c r="E134" s="35"/>
      <c r="H134" s="9"/>
    </row>
    <row r="135">
      <c r="E135" s="35"/>
      <c r="H135" s="9"/>
    </row>
    <row r="136">
      <c r="E136" s="35"/>
      <c r="H136" s="9"/>
    </row>
    <row r="137">
      <c r="E137" s="35"/>
      <c r="H137" s="9"/>
    </row>
    <row r="138">
      <c r="E138" s="35"/>
      <c r="H138" s="9"/>
    </row>
    <row r="139">
      <c r="E139" s="35"/>
      <c r="H139" s="9"/>
    </row>
    <row r="140">
      <c r="E140" s="35"/>
      <c r="H140" s="9"/>
    </row>
    <row r="141">
      <c r="E141" s="35"/>
      <c r="H141" s="9"/>
    </row>
    <row r="142">
      <c r="E142" s="35"/>
      <c r="H142" s="9"/>
    </row>
    <row r="143">
      <c r="E143" s="35"/>
      <c r="H143" s="9"/>
    </row>
    <row r="144">
      <c r="E144" s="35"/>
      <c r="H144" s="9"/>
    </row>
    <row r="145">
      <c r="E145" s="35"/>
      <c r="H145" s="9"/>
    </row>
    <row r="146">
      <c r="E146" s="35"/>
      <c r="H146" s="9"/>
    </row>
    <row r="147">
      <c r="E147" s="35"/>
      <c r="H147" s="9"/>
    </row>
    <row r="148">
      <c r="E148" s="35"/>
      <c r="H148" s="9"/>
    </row>
    <row r="149">
      <c r="E149" s="35"/>
      <c r="H149" s="9"/>
    </row>
    <row r="150">
      <c r="E150" s="35"/>
      <c r="H150" s="9"/>
    </row>
    <row r="151">
      <c r="E151" s="35"/>
      <c r="H151" s="9"/>
    </row>
    <row r="152">
      <c r="E152" s="35"/>
      <c r="H152" s="9"/>
    </row>
    <row r="153">
      <c r="E153" s="35"/>
      <c r="H153" s="9"/>
    </row>
    <row r="154">
      <c r="E154" s="35"/>
      <c r="H154" s="9"/>
    </row>
    <row r="155">
      <c r="E155" s="35"/>
      <c r="H155" s="9"/>
    </row>
    <row r="156">
      <c r="E156" s="35"/>
      <c r="H156" s="9"/>
    </row>
    <row r="157">
      <c r="E157" s="35"/>
      <c r="H157" s="9"/>
    </row>
    <row r="158">
      <c r="E158" s="35"/>
      <c r="H158" s="9"/>
    </row>
    <row r="159">
      <c r="E159" s="35"/>
      <c r="H159" s="9"/>
    </row>
    <row r="160">
      <c r="E160" s="35"/>
      <c r="H160" s="9"/>
    </row>
    <row r="161">
      <c r="E161" s="35"/>
      <c r="H161" s="9"/>
    </row>
    <row r="162">
      <c r="E162" s="35"/>
      <c r="H162" s="9"/>
    </row>
    <row r="163">
      <c r="E163" s="35"/>
      <c r="H163" s="9"/>
    </row>
    <row r="164">
      <c r="E164" s="35"/>
      <c r="H164" s="9"/>
    </row>
    <row r="165">
      <c r="E165" s="35"/>
      <c r="H165" s="9"/>
    </row>
    <row r="166">
      <c r="E166" s="35"/>
      <c r="H166" s="9"/>
    </row>
    <row r="167">
      <c r="E167" s="35"/>
      <c r="H167" s="9"/>
    </row>
    <row r="168">
      <c r="E168" s="35"/>
      <c r="H168" s="9"/>
    </row>
    <row r="169">
      <c r="E169" s="35"/>
      <c r="H169" s="9"/>
    </row>
    <row r="170">
      <c r="E170" s="35"/>
      <c r="H170" s="9"/>
    </row>
    <row r="171">
      <c r="E171" s="35"/>
      <c r="H171" s="9"/>
    </row>
    <row r="172">
      <c r="E172" s="35"/>
      <c r="H172" s="9"/>
    </row>
    <row r="173">
      <c r="E173" s="35"/>
      <c r="H173" s="9"/>
    </row>
    <row r="174">
      <c r="E174" s="35"/>
      <c r="H174" s="9"/>
    </row>
    <row r="175">
      <c r="E175" s="35"/>
      <c r="H175" s="9"/>
    </row>
    <row r="176">
      <c r="E176" s="35"/>
      <c r="H176" s="9"/>
    </row>
    <row r="177">
      <c r="E177" s="35"/>
      <c r="H177" s="9"/>
    </row>
    <row r="178">
      <c r="E178" s="35"/>
      <c r="H178" s="9"/>
    </row>
    <row r="179">
      <c r="E179" s="35"/>
      <c r="H179" s="9"/>
    </row>
    <row r="180">
      <c r="E180" s="35"/>
      <c r="H180" s="9"/>
    </row>
    <row r="181">
      <c r="E181" s="35"/>
      <c r="H181" s="9"/>
    </row>
    <row r="182">
      <c r="E182" s="35"/>
      <c r="H182" s="9"/>
    </row>
    <row r="183">
      <c r="E183" s="35"/>
      <c r="H183" s="9"/>
    </row>
    <row r="184">
      <c r="E184" s="35"/>
      <c r="H184" s="9"/>
    </row>
    <row r="185">
      <c r="E185" s="35"/>
      <c r="H185" s="9"/>
    </row>
    <row r="186">
      <c r="E186" s="35"/>
      <c r="H186" s="9"/>
    </row>
    <row r="187">
      <c r="E187" s="35"/>
      <c r="H187" s="9"/>
    </row>
    <row r="188">
      <c r="E188" s="35"/>
      <c r="H188" s="9"/>
    </row>
    <row r="189">
      <c r="E189" s="35"/>
      <c r="H189" s="9"/>
    </row>
    <row r="190">
      <c r="E190" s="35"/>
      <c r="H190" s="9"/>
    </row>
    <row r="191">
      <c r="E191" s="35"/>
      <c r="H191" s="9"/>
    </row>
    <row r="192">
      <c r="E192" s="35"/>
      <c r="H192" s="9"/>
    </row>
    <row r="193">
      <c r="E193" s="35"/>
      <c r="H193" s="9"/>
    </row>
    <row r="194">
      <c r="E194" s="35"/>
      <c r="H194" s="9"/>
    </row>
    <row r="195">
      <c r="E195" s="35"/>
      <c r="H195" s="9"/>
    </row>
    <row r="196">
      <c r="E196" s="35"/>
      <c r="H196" s="9"/>
    </row>
    <row r="197">
      <c r="E197" s="35"/>
      <c r="H197" s="9"/>
    </row>
    <row r="198">
      <c r="E198" s="35"/>
      <c r="H198" s="9"/>
    </row>
    <row r="199">
      <c r="E199" s="35"/>
      <c r="H199" s="9"/>
    </row>
    <row r="200">
      <c r="E200" s="35"/>
      <c r="H200" s="9"/>
    </row>
    <row r="201">
      <c r="E201" s="35"/>
      <c r="H201" s="9"/>
    </row>
    <row r="202">
      <c r="E202" s="35"/>
      <c r="H202" s="9"/>
    </row>
    <row r="203">
      <c r="E203" s="35"/>
      <c r="H203" s="9"/>
    </row>
    <row r="204">
      <c r="E204" s="35"/>
      <c r="H204" s="9"/>
    </row>
    <row r="205">
      <c r="E205" s="35"/>
      <c r="H205" s="9"/>
    </row>
    <row r="206">
      <c r="E206" s="35"/>
      <c r="H206" s="9"/>
    </row>
    <row r="207">
      <c r="E207" s="35"/>
      <c r="H207" s="9"/>
    </row>
    <row r="208">
      <c r="E208" s="35"/>
      <c r="H208" s="9"/>
    </row>
    <row r="209">
      <c r="E209" s="35"/>
      <c r="H209" s="9"/>
    </row>
    <row r="210">
      <c r="E210" s="35"/>
      <c r="H210" s="9"/>
    </row>
    <row r="211">
      <c r="E211" s="35"/>
      <c r="H211" s="9"/>
    </row>
    <row r="212">
      <c r="E212" s="35"/>
      <c r="H212" s="9"/>
    </row>
    <row r="213">
      <c r="E213" s="35"/>
      <c r="H213" s="9"/>
    </row>
    <row r="214">
      <c r="E214" s="35"/>
      <c r="H214" s="9"/>
    </row>
    <row r="215">
      <c r="E215" s="35"/>
      <c r="H215" s="9"/>
    </row>
    <row r="216">
      <c r="E216" s="35"/>
      <c r="H216" s="9"/>
    </row>
    <row r="217">
      <c r="E217" s="35"/>
      <c r="H217" s="9"/>
    </row>
    <row r="218">
      <c r="E218" s="35"/>
      <c r="H218" s="9"/>
    </row>
    <row r="219">
      <c r="E219" s="35"/>
      <c r="H219" s="9"/>
    </row>
    <row r="220">
      <c r="E220" s="35"/>
      <c r="H220" s="9"/>
    </row>
    <row r="221">
      <c r="E221" s="35"/>
      <c r="H221" s="9"/>
    </row>
    <row r="222">
      <c r="E222" s="35"/>
      <c r="H222" s="9"/>
    </row>
    <row r="223">
      <c r="E223" s="35"/>
      <c r="H223" s="9"/>
    </row>
    <row r="224">
      <c r="E224" s="35"/>
      <c r="H224" s="9"/>
    </row>
    <row r="225">
      <c r="E225" s="35"/>
      <c r="H225" s="9"/>
    </row>
    <row r="226">
      <c r="E226" s="35"/>
      <c r="H226" s="9"/>
    </row>
    <row r="227">
      <c r="E227" s="35"/>
      <c r="H227" s="9"/>
    </row>
    <row r="228">
      <c r="E228" s="35"/>
      <c r="H228" s="9"/>
    </row>
    <row r="229">
      <c r="E229" s="35"/>
      <c r="H229" s="9"/>
    </row>
    <row r="230">
      <c r="E230" s="35"/>
      <c r="H230" s="9"/>
    </row>
    <row r="231">
      <c r="E231" s="35"/>
      <c r="H231" s="9"/>
    </row>
    <row r="232">
      <c r="E232" s="35"/>
      <c r="H232" s="9"/>
    </row>
    <row r="233">
      <c r="E233" s="35"/>
      <c r="H233" s="9"/>
    </row>
    <row r="234">
      <c r="E234" s="35"/>
      <c r="H234" s="9"/>
    </row>
    <row r="235">
      <c r="E235" s="35"/>
      <c r="H235" s="9"/>
    </row>
    <row r="236">
      <c r="E236" s="35"/>
      <c r="H236" s="9"/>
    </row>
    <row r="237">
      <c r="E237" s="35"/>
      <c r="H237" s="9"/>
    </row>
    <row r="238">
      <c r="E238" s="35"/>
      <c r="H238" s="9"/>
    </row>
    <row r="239">
      <c r="E239" s="35"/>
      <c r="H239" s="9"/>
    </row>
    <row r="240">
      <c r="E240" s="35"/>
      <c r="H240" s="9"/>
    </row>
    <row r="241">
      <c r="E241" s="35"/>
      <c r="H241" s="9"/>
    </row>
    <row r="242">
      <c r="E242" s="35"/>
      <c r="H242" s="9"/>
    </row>
    <row r="243">
      <c r="E243" s="35"/>
      <c r="H243" s="9"/>
    </row>
    <row r="244">
      <c r="E244" s="35"/>
      <c r="H244" s="9"/>
    </row>
    <row r="245">
      <c r="E245" s="35"/>
      <c r="H245" s="9"/>
    </row>
    <row r="246">
      <c r="E246" s="35"/>
      <c r="H246" s="9"/>
    </row>
    <row r="247">
      <c r="E247" s="35"/>
      <c r="H247" s="9"/>
    </row>
    <row r="248">
      <c r="E248" s="35"/>
      <c r="H248" s="9"/>
    </row>
    <row r="249">
      <c r="E249" s="35"/>
      <c r="H249" s="9"/>
    </row>
    <row r="250">
      <c r="E250" s="35"/>
      <c r="H250" s="9"/>
    </row>
    <row r="251">
      <c r="E251" s="35"/>
      <c r="H251" s="9"/>
    </row>
    <row r="252">
      <c r="E252" s="35"/>
      <c r="H252" s="9"/>
    </row>
    <row r="253">
      <c r="E253" s="35"/>
      <c r="H253" s="9"/>
    </row>
    <row r="254">
      <c r="E254" s="35"/>
      <c r="H254" s="9"/>
    </row>
    <row r="255">
      <c r="E255" s="35"/>
      <c r="H255" s="9"/>
    </row>
    <row r="256">
      <c r="E256" s="35"/>
      <c r="H256" s="9"/>
    </row>
    <row r="257">
      <c r="E257" s="35"/>
      <c r="H257" s="9"/>
    </row>
    <row r="258">
      <c r="E258" s="35"/>
      <c r="H258" s="9"/>
    </row>
    <row r="259">
      <c r="E259" s="35"/>
      <c r="H259" s="9"/>
    </row>
    <row r="260">
      <c r="E260" s="35"/>
      <c r="H260" s="9"/>
    </row>
    <row r="261">
      <c r="E261" s="35"/>
      <c r="H261" s="9"/>
    </row>
    <row r="262">
      <c r="E262" s="35"/>
      <c r="H262" s="9"/>
    </row>
    <row r="263">
      <c r="E263" s="35"/>
      <c r="H263" s="9"/>
    </row>
    <row r="264">
      <c r="E264" s="35"/>
      <c r="H264" s="9"/>
    </row>
    <row r="265">
      <c r="E265" s="35"/>
      <c r="H265" s="9"/>
    </row>
    <row r="266">
      <c r="E266" s="35"/>
      <c r="H266" s="9"/>
    </row>
    <row r="267">
      <c r="E267" s="35"/>
      <c r="H267" s="9"/>
    </row>
    <row r="268">
      <c r="E268" s="35"/>
      <c r="H268" s="9"/>
    </row>
    <row r="269">
      <c r="E269" s="35"/>
      <c r="H269" s="9"/>
    </row>
    <row r="270">
      <c r="E270" s="35"/>
      <c r="H270" s="9"/>
    </row>
    <row r="271">
      <c r="E271" s="35"/>
      <c r="H271" s="9"/>
    </row>
    <row r="272">
      <c r="E272" s="35"/>
      <c r="H272" s="9"/>
    </row>
    <row r="273">
      <c r="E273" s="35"/>
      <c r="H273" s="9"/>
    </row>
    <row r="274">
      <c r="E274" s="35"/>
      <c r="H274" s="9"/>
    </row>
    <row r="275">
      <c r="E275" s="35"/>
      <c r="H275" s="9"/>
    </row>
    <row r="276">
      <c r="E276" s="35"/>
      <c r="H276" s="9"/>
    </row>
    <row r="277">
      <c r="E277" s="35"/>
      <c r="H277" s="9"/>
    </row>
    <row r="278">
      <c r="E278" s="35"/>
      <c r="H278" s="9"/>
    </row>
    <row r="279">
      <c r="E279" s="35"/>
      <c r="H279" s="9"/>
    </row>
    <row r="280">
      <c r="E280" s="35"/>
      <c r="H280" s="9"/>
    </row>
    <row r="281">
      <c r="E281" s="35"/>
      <c r="H281" s="9"/>
    </row>
    <row r="282">
      <c r="E282" s="35"/>
      <c r="H282" s="9"/>
    </row>
    <row r="283">
      <c r="E283" s="35"/>
      <c r="H283" s="9"/>
    </row>
    <row r="284">
      <c r="E284" s="35"/>
      <c r="H284" s="9"/>
    </row>
    <row r="285">
      <c r="E285" s="35"/>
      <c r="H285" s="9"/>
    </row>
    <row r="286">
      <c r="E286" s="35"/>
      <c r="H286" s="9"/>
    </row>
    <row r="287">
      <c r="E287" s="35"/>
      <c r="H287" s="9"/>
    </row>
    <row r="288">
      <c r="E288" s="35"/>
      <c r="H288" s="9"/>
    </row>
    <row r="289">
      <c r="E289" s="35"/>
      <c r="H289" s="9"/>
    </row>
    <row r="290">
      <c r="E290" s="35"/>
      <c r="H290" s="9"/>
    </row>
    <row r="291">
      <c r="E291" s="35"/>
      <c r="H291" s="9"/>
    </row>
    <row r="292">
      <c r="E292" s="35"/>
      <c r="H292" s="9"/>
    </row>
    <row r="293">
      <c r="E293" s="35"/>
      <c r="H293" s="9"/>
    </row>
    <row r="294">
      <c r="E294" s="35"/>
      <c r="H294" s="9"/>
    </row>
    <row r="295">
      <c r="E295" s="35"/>
      <c r="H295" s="9"/>
    </row>
    <row r="296">
      <c r="E296" s="35"/>
      <c r="H296" s="9"/>
    </row>
    <row r="297">
      <c r="E297" s="35"/>
      <c r="H297" s="9"/>
    </row>
    <row r="298">
      <c r="E298" s="35"/>
      <c r="H298" s="9"/>
    </row>
    <row r="299">
      <c r="E299" s="35"/>
      <c r="H299" s="9"/>
    </row>
    <row r="300">
      <c r="E300" s="35"/>
      <c r="H300" s="9"/>
    </row>
    <row r="301">
      <c r="E301" s="35"/>
      <c r="H301" s="9"/>
    </row>
    <row r="302">
      <c r="E302" s="35"/>
      <c r="H302" s="9"/>
    </row>
    <row r="303">
      <c r="E303" s="35"/>
      <c r="H303" s="9"/>
    </row>
    <row r="304">
      <c r="E304" s="35"/>
      <c r="H304" s="9"/>
    </row>
    <row r="305">
      <c r="E305" s="35"/>
      <c r="H305" s="9"/>
    </row>
    <row r="306">
      <c r="E306" s="35"/>
      <c r="H306" s="9"/>
    </row>
    <row r="307">
      <c r="E307" s="35"/>
      <c r="H307" s="9"/>
    </row>
    <row r="308">
      <c r="E308" s="35"/>
      <c r="H308" s="9"/>
    </row>
    <row r="309">
      <c r="E309" s="35"/>
      <c r="H309" s="9"/>
    </row>
    <row r="310">
      <c r="E310" s="35"/>
      <c r="H310" s="9"/>
    </row>
    <row r="311">
      <c r="E311" s="35"/>
      <c r="H311" s="9"/>
    </row>
    <row r="312">
      <c r="E312" s="35"/>
      <c r="H312" s="9"/>
    </row>
    <row r="313">
      <c r="E313" s="35"/>
      <c r="H313" s="9"/>
    </row>
    <row r="314">
      <c r="E314" s="35"/>
      <c r="H314" s="9"/>
    </row>
    <row r="315">
      <c r="E315" s="35"/>
      <c r="H315" s="9"/>
    </row>
    <row r="316">
      <c r="E316" s="35"/>
      <c r="H316" s="9"/>
    </row>
    <row r="317">
      <c r="E317" s="35"/>
      <c r="H317" s="9"/>
    </row>
    <row r="318">
      <c r="E318" s="35"/>
      <c r="H318" s="9"/>
    </row>
    <row r="319">
      <c r="E319" s="35"/>
      <c r="H319" s="9"/>
    </row>
    <row r="320">
      <c r="E320" s="35"/>
      <c r="H320" s="9"/>
    </row>
    <row r="321">
      <c r="E321" s="35"/>
      <c r="H321" s="9"/>
    </row>
    <row r="322">
      <c r="E322" s="35"/>
      <c r="H322" s="9"/>
    </row>
    <row r="323">
      <c r="E323" s="35"/>
      <c r="H323" s="9"/>
    </row>
    <row r="324">
      <c r="E324" s="35"/>
      <c r="H324" s="9"/>
    </row>
    <row r="325">
      <c r="E325" s="35"/>
      <c r="H325" s="9"/>
    </row>
    <row r="326">
      <c r="E326" s="35"/>
      <c r="H326" s="9"/>
    </row>
    <row r="327">
      <c r="E327" s="35"/>
      <c r="H327" s="9"/>
    </row>
    <row r="328">
      <c r="E328" s="35"/>
      <c r="H328" s="9"/>
    </row>
    <row r="329">
      <c r="E329" s="35"/>
      <c r="H329" s="9"/>
    </row>
    <row r="330">
      <c r="E330" s="35"/>
      <c r="H330" s="9"/>
    </row>
    <row r="331">
      <c r="E331" s="35"/>
      <c r="H331" s="9"/>
    </row>
    <row r="332">
      <c r="E332" s="35"/>
      <c r="H332" s="9"/>
    </row>
    <row r="333">
      <c r="E333" s="35"/>
      <c r="H333" s="9"/>
    </row>
    <row r="334">
      <c r="E334" s="35"/>
      <c r="H334" s="9"/>
    </row>
    <row r="335">
      <c r="E335" s="35"/>
      <c r="H335" s="9"/>
    </row>
    <row r="336">
      <c r="E336" s="35"/>
      <c r="H336" s="9"/>
    </row>
    <row r="337">
      <c r="E337" s="35"/>
      <c r="H337" s="9"/>
    </row>
    <row r="338">
      <c r="E338" s="35"/>
      <c r="H338" s="9"/>
    </row>
    <row r="339">
      <c r="E339" s="35"/>
      <c r="H339" s="9"/>
    </row>
    <row r="340">
      <c r="E340" s="35"/>
      <c r="H340" s="9"/>
    </row>
    <row r="341">
      <c r="E341" s="35"/>
      <c r="H341" s="9"/>
    </row>
    <row r="342">
      <c r="E342" s="35"/>
      <c r="H342" s="9"/>
    </row>
    <row r="343">
      <c r="E343" s="35"/>
      <c r="H343" s="9"/>
    </row>
    <row r="344">
      <c r="E344" s="35"/>
      <c r="H344" s="9"/>
    </row>
    <row r="345">
      <c r="E345" s="35"/>
      <c r="H345" s="9"/>
    </row>
    <row r="346">
      <c r="E346" s="35"/>
      <c r="H346" s="9"/>
    </row>
    <row r="347">
      <c r="E347" s="35"/>
      <c r="H347" s="9"/>
    </row>
    <row r="348">
      <c r="E348" s="35"/>
      <c r="H348" s="9"/>
    </row>
    <row r="349">
      <c r="E349" s="35"/>
      <c r="H349" s="9"/>
    </row>
    <row r="350">
      <c r="E350" s="35"/>
      <c r="H350" s="9"/>
    </row>
    <row r="351">
      <c r="E351" s="35"/>
      <c r="H351" s="9"/>
    </row>
    <row r="352">
      <c r="E352" s="35"/>
      <c r="H352" s="9"/>
    </row>
    <row r="353">
      <c r="E353" s="35"/>
      <c r="H353" s="9"/>
    </row>
    <row r="354">
      <c r="E354" s="35"/>
      <c r="H354" s="9"/>
    </row>
    <row r="355">
      <c r="E355" s="35"/>
      <c r="H355" s="9"/>
    </row>
    <row r="356">
      <c r="E356" s="35"/>
      <c r="H356" s="9"/>
    </row>
    <row r="357">
      <c r="E357" s="35"/>
      <c r="H357" s="9"/>
    </row>
    <row r="358">
      <c r="E358" s="35"/>
      <c r="H358" s="9"/>
    </row>
    <row r="359">
      <c r="E359" s="35"/>
      <c r="H359" s="9"/>
    </row>
    <row r="360">
      <c r="E360" s="35"/>
      <c r="H360" s="9"/>
    </row>
    <row r="361">
      <c r="E361" s="35"/>
      <c r="H361" s="9"/>
    </row>
    <row r="362">
      <c r="E362" s="35"/>
      <c r="H362" s="9"/>
    </row>
    <row r="363">
      <c r="E363" s="35"/>
      <c r="H363" s="9"/>
    </row>
    <row r="364">
      <c r="E364" s="35"/>
      <c r="H364" s="9"/>
    </row>
    <row r="365">
      <c r="E365" s="35"/>
      <c r="H365" s="9"/>
    </row>
    <row r="366">
      <c r="E366" s="35"/>
      <c r="H366" s="9"/>
    </row>
    <row r="367">
      <c r="E367" s="35"/>
      <c r="H367" s="9"/>
    </row>
    <row r="368">
      <c r="E368" s="35"/>
      <c r="H368" s="9"/>
    </row>
    <row r="369">
      <c r="E369" s="35"/>
      <c r="H369" s="9"/>
    </row>
    <row r="370">
      <c r="E370" s="35"/>
      <c r="H370" s="9"/>
    </row>
    <row r="371">
      <c r="E371" s="35"/>
      <c r="H371" s="9"/>
    </row>
    <row r="372">
      <c r="E372" s="35"/>
      <c r="H372" s="9"/>
    </row>
    <row r="373">
      <c r="E373" s="35"/>
      <c r="H373" s="9"/>
    </row>
    <row r="374">
      <c r="E374" s="35"/>
      <c r="H374" s="9"/>
    </row>
    <row r="375">
      <c r="E375" s="35"/>
      <c r="H375" s="9"/>
    </row>
    <row r="376">
      <c r="E376" s="35"/>
      <c r="H376" s="9"/>
    </row>
    <row r="377">
      <c r="E377" s="35"/>
      <c r="H377" s="9"/>
    </row>
    <row r="378">
      <c r="E378" s="35"/>
      <c r="H378" s="9"/>
    </row>
    <row r="379">
      <c r="E379" s="35"/>
      <c r="H379" s="9"/>
    </row>
    <row r="380">
      <c r="E380" s="35"/>
      <c r="H380" s="9"/>
    </row>
    <row r="381">
      <c r="E381" s="35"/>
      <c r="H381" s="9"/>
    </row>
    <row r="382">
      <c r="E382" s="35"/>
      <c r="H382" s="9"/>
    </row>
    <row r="383">
      <c r="E383" s="35"/>
      <c r="H383" s="9"/>
    </row>
    <row r="384">
      <c r="E384" s="35"/>
      <c r="H384" s="9"/>
    </row>
    <row r="385">
      <c r="E385" s="35"/>
      <c r="H385" s="9"/>
    </row>
    <row r="386">
      <c r="E386" s="35"/>
      <c r="H386" s="9"/>
    </row>
    <row r="387">
      <c r="E387" s="35"/>
      <c r="H387" s="9"/>
    </row>
    <row r="388">
      <c r="E388" s="35"/>
      <c r="H388" s="9"/>
    </row>
    <row r="389">
      <c r="E389" s="35"/>
      <c r="H389" s="9"/>
    </row>
    <row r="390">
      <c r="E390" s="35"/>
      <c r="H390" s="9"/>
    </row>
    <row r="391">
      <c r="E391" s="35"/>
      <c r="H391" s="9"/>
    </row>
    <row r="392">
      <c r="E392" s="35"/>
      <c r="H392" s="9"/>
    </row>
    <row r="393">
      <c r="E393" s="35"/>
      <c r="H393" s="9"/>
    </row>
    <row r="394">
      <c r="E394" s="35"/>
      <c r="H394" s="9"/>
    </row>
    <row r="395">
      <c r="E395" s="35"/>
      <c r="H395" s="9"/>
    </row>
    <row r="396">
      <c r="E396" s="35"/>
      <c r="H396" s="9"/>
    </row>
    <row r="397">
      <c r="E397" s="35"/>
      <c r="H397" s="9"/>
    </row>
    <row r="398">
      <c r="E398" s="35"/>
      <c r="H398" s="9"/>
    </row>
    <row r="399">
      <c r="E399" s="35"/>
      <c r="H399" s="9"/>
    </row>
    <row r="400">
      <c r="E400" s="35"/>
      <c r="H400" s="9"/>
    </row>
    <row r="401">
      <c r="E401" s="35"/>
      <c r="H401" s="9"/>
    </row>
    <row r="402">
      <c r="E402" s="35"/>
      <c r="H402" s="9"/>
    </row>
    <row r="403">
      <c r="E403" s="35"/>
      <c r="H403" s="9"/>
    </row>
    <row r="404">
      <c r="E404" s="35"/>
      <c r="H404" s="9"/>
    </row>
    <row r="405">
      <c r="E405" s="35"/>
      <c r="H405" s="9"/>
    </row>
    <row r="406">
      <c r="E406" s="35"/>
      <c r="H406" s="9"/>
    </row>
    <row r="407">
      <c r="E407" s="35"/>
      <c r="H407" s="9"/>
    </row>
    <row r="408">
      <c r="E408" s="35"/>
      <c r="H408" s="9"/>
    </row>
    <row r="409">
      <c r="E409" s="35"/>
      <c r="H409" s="9"/>
    </row>
    <row r="410">
      <c r="E410" s="35"/>
      <c r="H410" s="9"/>
    </row>
    <row r="411">
      <c r="E411" s="35"/>
      <c r="H411" s="9"/>
    </row>
    <row r="412">
      <c r="E412" s="35"/>
      <c r="H412" s="9"/>
    </row>
    <row r="413">
      <c r="E413" s="35"/>
      <c r="H413" s="9"/>
    </row>
    <row r="414">
      <c r="E414" s="35"/>
      <c r="H414" s="9"/>
    </row>
    <row r="415">
      <c r="E415" s="35"/>
      <c r="H415" s="9"/>
    </row>
    <row r="416">
      <c r="E416" s="35"/>
      <c r="H416" s="9"/>
    </row>
    <row r="417">
      <c r="E417" s="35"/>
      <c r="H417" s="9"/>
    </row>
    <row r="418">
      <c r="E418" s="35"/>
      <c r="H418" s="9"/>
    </row>
    <row r="419">
      <c r="E419" s="35"/>
      <c r="H419" s="9"/>
    </row>
    <row r="420">
      <c r="E420" s="35"/>
      <c r="H420" s="9"/>
    </row>
    <row r="421">
      <c r="E421" s="35"/>
      <c r="H421" s="9"/>
    </row>
    <row r="422">
      <c r="E422" s="35"/>
      <c r="H422" s="9"/>
    </row>
    <row r="423">
      <c r="E423" s="35"/>
      <c r="H423" s="9"/>
    </row>
    <row r="424">
      <c r="E424" s="35"/>
      <c r="H424" s="9"/>
    </row>
    <row r="425">
      <c r="E425" s="35"/>
      <c r="H425" s="9"/>
    </row>
    <row r="426">
      <c r="E426" s="35"/>
      <c r="H426" s="9"/>
    </row>
    <row r="427">
      <c r="E427" s="35"/>
      <c r="H427" s="9"/>
    </row>
    <row r="428">
      <c r="E428" s="35"/>
      <c r="H428" s="9"/>
    </row>
    <row r="429">
      <c r="E429" s="35"/>
      <c r="H429" s="9"/>
    </row>
    <row r="430">
      <c r="E430" s="35"/>
      <c r="H430" s="9"/>
    </row>
    <row r="431">
      <c r="E431" s="35"/>
      <c r="H431" s="9"/>
    </row>
    <row r="432">
      <c r="E432" s="35"/>
      <c r="H432" s="9"/>
    </row>
    <row r="433">
      <c r="E433" s="35"/>
      <c r="H433" s="9"/>
    </row>
    <row r="434">
      <c r="E434" s="35"/>
      <c r="H434" s="9"/>
    </row>
    <row r="435">
      <c r="E435" s="35"/>
      <c r="H435" s="9"/>
    </row>
    <row r="436">
      <c r="E436" s="35"/>
      <c r="H436" s="9"/>
    </row>
    <row r="437">
      <c r="E437" s="35"/>
      <c r="H437" s="9"/>
    </row>
    <row r="438">
      <c r="E438" s="35"/>
      <c r="H438" s="9"/>
    </row>
    <row r="439">
      <c r="E439" s="35"/>
      <c r="H439" s="9"/>
    </row>
    <row r="440">
      <c r="E440" s="35"/>
      <c r="H440" s="9"/>
    </row>
    <row r="441">
      <c r="E441" s="35"/>
      <c r="H441" s="9"/>
    </row>
    <row r="442">
      <c r="E442" s="35"/>
      <c r="H442" s="9"/>
    </row>
    <row r="443">
      <c r="E443" s="35"/>
      <c r="H443" s="9"/>
    </row>
    <row r="444">
      <c r="E444" s="35"/>
      <c r="H444" s="9"/>
    </row>
    <row r="445">
      <c r="E445" s="35"/>
      <c r="H445" s="9"/>
    </row>
    <row r="446">
      <c r="E446" s="35"/>
      <c r="H446" s="9"/>
    </row>
    <row r="447">
      <c r="E447" s="35"/>
      <c r="H447" s="9"/>
    </row>
    <row r="448">
      <c r="E448" s="35"/>
      <c r="H448" s="9"/>
    </row>
    <row r="449">
      <c r="E449" s="35"/>
      <c r="H449" s="9"/>
    </row>
    <row r="450">
      <c r="E450" s="35"/>
      <c r="H450" s="9"/>
    </row>
    <row r="451">
      <c r="E451" s="35"/>
      <c r="H451" s="9"/>
    </row>
    <row r="452">
      <c r="E452" s="35"/>
      <c r="H452" s="9"/>
    </row>
    <row r="453">
      <c r="E453" s="35"/>
      <c r="H453" s="9"/>
    </row>
    <row r="454">
      <c r="E454" s="35"/>
      <c r="H454" s="9"/>
    </row>
    <row r="455">
      <c r="E455" s="35"/>
      <c r="H455" s="9"/>
    </row>
    <row r="456">
      <c r="E456" s="35"/>
      <c r="H456" s="9"/>
    </row>
    <row r="457">
      <c r="E457" s="35"/>
      <c r="H457" s="9"/>
    </row>
    <row r="458">
      <c r="E458" s="35"/>
      <c r="H458" s="9"/>
    </row>
    <row r="459">
      <c r="E459" s="35"/>
      <c r="H459" s="9"/>
    </row>
    <row r="460">
      <c r="E460" s="35"/>
      <c r="H460" s="9"/>
    </row>
    <row r="461">
      <c r="E461" s="35"/>
      <c r="H461" s="9"/>
    </row>
    <row r="462">
      <c r="E462" s="35"/>
      <c r="H462" s="9"/>
    </row>
    <row r="463">
      <c r="E463" s="35"/>
      <c r="H463" s="9"/>
    </row>
    <row r="464">
      <c r="E464" s="35"/>
      <c r="H464" s="9"/>
    </row>
    <row r="465">
      <c r="E465" s="35"/>
      <c r="H465" s="9"/>
    </row>
    <row r="466">
      <c r="E466" s="35"/>
      <c r="H466" s="9"/>
    </row>
    <row r="467">
      <c r="E467" s="35"/>
      <c r="H467" s="9"/>
    </row>
    <row r="468">
      <c r="E468" s="35"/>
      <c r="H468" s="9"/>
    </row>
    <row r="469">
      <c r="E469" s="35"/>
      <c r="H469" s="9"/>
    </row>
    <row r="470">
      <c r="E470" s="35"/>
      <c r="H470" s="9"/>
    </row>
    <row r="471">
      <c r="E471" s="35"/>
      <c r="H471" s="9"/>
    </row>
    <row r="472">
      <c r="E472" s="35"/>
      <c r="H472" s="9"/>
    </row>
    <row r="473">
      <c r="E473" s="35"/>
      <c r="H473" s="9"/>
    </row>
    <row r="474">
      <c r="E474" s="35"/>
      <c r="H474" s="9"/>
    </row>
    <row r="475">
      <c r="E475" s="35"/>
      <c r="H475" s="9"/>
    </row>
    <row r="476">
      <c r="E476" s="35"/>
      <c r="H476" s="9"/>
    </row>
    <row r="477">
      <c r="E477" s="35"/>
      <c r="H477" s="9"/>
    </row>
    <row r="478">
      <c r="E478" s="35"/>
      <c r="H478" s="9"/>
    </row>
    <row r="479">
      <c r="E479" s="35"/>
      <c r="H479" s="9"/>
    </row>
    <row r="480">
      <c r="E480" s="35"/>
      <c r="H480" s="9"/>
    </row>
    <row r="481">
      <c r="E481" s="35"/>
      <c r="H481" s="9"/>
    </row>
    <row r="482">
      <c r="E482" s="35"/>
      <c r="H482" s="9"/>
    </row>
    <row r="483">
      <c r="E483" s="35"/>
      <c r="H483" s="9"/>
    </row>
    <row r="484">
      <c r="E484" s="35"/>
      <c r="H484" s="9"/>
    </row>
    <row r="485">
      <c r="E485" s="35"/>
      <c r="H485" s="9"/>
    </row>
    <row r="486">
      <c r="E486" s="35"/>
      <c r="H486" s="9"/>
    </row>
    <row r="487">
      <c r="E487" s="35"/>
      <c r="H487" s="9"/>
    </row>
    <row r="488">
      <c r="E488" s="35"/>
      <c r="H488" s="9"/>
    </row>
    <row r="489">
      <c r="E489" s="35"/>
      <c r="H489" s="9"/>
    </row>
    <row r="490">
      <c r="E490" s="35"/>
      <c r="H490" s="9"/>
    </row>
    <row r="491">
      <c r="E491" s="35"/>
      <c r="H491" s="9"/>
    </row>
    <row r="492">
      <c r="E492" s="35"/>
      <c r="H492" s="9"/>
    </row>
    <row r="493">
      <c r="E493" s="35"/>
      <c r="H493" s="9"/>
    </row>
    <row r="494">
      <c r="E494" s="35"/>
      <c r="H494" s="9"/>
    </row>
    <row r="495">
      <c r="E495" s="35"/>
      <c r="H495" s="9"/>
    </row>
    <row r="496">
      <c r="E496" s="35"/>
      <c r="H496" s="9"/>
    </row>
    <row r="497">
      <c r="E497" s="35"/>
      <c r="H497" s="9"/>
    </row>
    <row r="498">
      <c r="E498" s="35"/>
      <c r="H498" s="9"/>
    </row>
    <row r="499">
      <c r="E499" s="35"/>
      <c r="H499" s="9"/>
    </row>
    <row r="500">
      <c r="E500" s="35"/>
      <c r="H500" s="9"/>
    </row>
    <row r="501">
      <c r="E501" s="35"/>
      <c r="H501" s="9"/>
    </row>
    <row r="502">
      <c r="E502" s="35"/>
      <c r="H502" s="9"/>
    </row>
    <row r="503">
      <c r="E503" s="35"/>
      <c r="H503" s="9"/>
    </row>
    <row r="504">
      <c r="E504" s="35"/>
      <c r="H504" s="9"/>
    </row>
    <row r="505">
      <c r="E505" s="35"/>
      <c r="H505" s="9"/>
    </row>
    <row r="506">
      <c r="E506" s="35"/>
      <c r="H506" s="9"/>
    </row>
    <row r="507">
      <c r="E507" s="35"/>
      <c r="H507" s="9"/>
    </row>
    <row r="508">
      <c r="E508" s="35"/>
      <c r="H508" s="9"/>
    </row>
    <row r="509">
      <c r="E509" s="35"/>
      <c r="H509" s="9"/>
    </row>
    <row r="510">
      <c r="E510" s="35"/>
      <c r="H510" s="9"/>
    </row>
    <row r="511">
      <c r="E511" s="35"/>
      <c r="H511" s="9"/>
    </row>
    <row r="512">
      <c r="E512" s="35"/>
      <c r="H512" s="9"/>
    </row>
    <row r="513">
      <c r="E513" s="35"/>
      <c r="H513" s="9"/>
    </row>
    <row r="514">
      <c r="E514" s="35"/>
      <c r="H514" s="9"/>
    </row>
    <row r="515">
      <c r="E515" s="35"/>
      <c r="H515" s="9"/>
    </row>
    <row r="516">
      <c r="E516" s="35"/>
      <c r="H516" s="9"/>
    </row>
    <row r="517">
      <c r="E517" s="35"/>
      <c r="H517" s="9"/>
    </row>
    <row r="518">
      <c r="E518" s="35"/>
      <c r="H518" s="9"/>
    </row>
    <row r="519">
      <c r="E519" s="35"/>
      <c r="H519" s="9"/>
    </row>
    <row r="520">
      <c r="E520" s="35"/>
      <c r="H520" s="9"/>
    </row>
    <row r="521">
      <c r="E521" s="35"/>
      <c r="H521" s="9"/>
    </row>
    <row r="522">
      <c r="E522" s="35"/>
      <c r="H522" s="9"/>
    </row>
    <row r="523">
      <c r="E523" s="35"/>
      <c r="H523" s="9"/>
    </row>
    <row r="524">
      <c r="E524" s="35"/>
      <c r="H524" s="9"/>
    </row>
    <row r="525">
      <c r="E525" s="35"/>
      <c r="H525" s="9"/>
    </row>
    <row r="526">
      <c r="E526" s="35"/>
      <c r="H526" s="9"/>
    </row>
    <row r="527">
      <c r="E527" s="35"/>
      <c r="H527" s="9"/>
    </row>
    <row r="528">
      <c r="E528" s="35"/>
      <c r="H528" s="9"/>
    </row>
    <row r="529">
      <c r="E529" s="35"/>
      <c r="H529" s="9"/>
    </row>
    <row r="530">
      <c r="E530" s="35"/>
      <c r="H530" s="9"/>
    </row>
    <row r="531">
      <c r="E531" s="35"/>
      <c r="H531" s="9"/>
    </row>
    <row r="532">
      <c r="E532" s="35"/>
      <c r="H532" s="9"/>
    </row>
    <row r="533">
      <c r="E533" s="35"/>
      <c r="H533" s="9"/>
    </row>
    <row r="534">
      <c r="E534" s="35"/>
      <c r="H534" s="9"/>
    </row>
    <row r="535">
      <c r="E535" s="35"/>
      <c r="H535" s="9"/>
    </row>
    <row r="536">
      <c r="E536" s="35"/>
      <c r="H536" s="9"/>
    </row>
    <row r="537">
      <c r="E537" s="35"/>
      <c r="H537" s="9"/>
    </row>
    <row r="538">
      <c r="E538" s="35"/>
      <c r="H538" s="9"/>
    </row>
    <row r="539">
      <c r="E539" s="35"/>
      <c r="H539" s="9"/>
    </row>
    <row r="540">
      <c r="E540" s="35"/>
      <c r="H540" s="9"/>
    </row>
    <row r="541">
      <c r="E541" s="35"/>
      <c r="H541" s="9"/>
    </row>
    <row r="542">
      <c r="E542" s="35"/>
      <c r="H542" s="9"/>
    </row>
    <row r="543">
      <c r="E543" s="35"/>
      <c r="H543" s="9"/>
    </row>
    <row r="544">
      <c r="E544" s="35"/>
      <c r="H544" s="9"/>
    </row>
    <row r="545">
      <c r="E545" s="35"/>
      <c r="H545" s="9"/>
    </row>
    <row r="546">
      <c r="E546" s="35"/>
      <c r="H546" s="9"/>
    </row>
    <row r="547">
      <c r="E547" s="35"/>
      <c r="H547" s="9"/>
    </row>
    <row r="548">
      <c r="E548" s="35"/>
      <c r="H548" s="9"/>
    </row>
    <row r="549">
      <c r="E549" s="35"/>
      <c r="H549" s="9"/>
    </row>
    <row r="550">
      <c r="E550" s="35"/>
      <c r="H550" s="9"/>
    </row>
    <row r="551">
      <c r="E551" s="35"/>
      <c r="H551" s="9"/>
    </row>
    <row r="552">
      <c r="E552" s="35"/>
      <c r="H552" s="9"/>
    </row>
    <row r="553">
      <c r="E553" s="35"/>
      <c r="H553" s="9"/>
    </row>
    <row r="554">
      <c r="E554" s="35"/>
      <c r="H554" s="9"/>
    </row>
    <row r="555">
      <c r="E555" s="35"/>
      <c r="H555" s="9"/>
    </row>
    <row r="556">
      <c r="E556" s="35"/>
      <c r="H556" s="9"/>
    </row>
    <row r="557">
      <c r="E557" s="35"/>
      <c r="H557" s="9"/>
    </row>
    <row r="558">
      <c r="E558" s="35"/>
      <c r="H558" s="9"/>
    </row>
    <row r="559">
      <c r="E559" s="35"/>
      <c r="H559" s="9"/>
    </row>
    <row r="560">
      <c r="E560" s="35"/>
      <c r="H560" s="9"/>
    </row>
    <row r="561">
      <c r="E561" s="35"/>
      <c r="H561" s="9"/>
    </row>
    <row r="562">
      <c r="E562" s="35"/>
      <c r="H562" s="9"/>
    </row>
    <row r="563">
      <c r="E563" s="35"/>
      <c r="H563" s="9"/>
    </row>
    <row r="564">
      <c r="E564" s="35"/>
      <c r="H564" s="9"/>
    </row>
    <row r="565">
      <c r="E565" s="35"/>
      <c r="H565" s="9"/>
    </row>
    <row r="566">
      <c r="E566" s="35"/>
      <c r="H566" s="9"/>
    </row>
    <row r="567">
      <c r="E567" s="35"/>
      <c r="H567" s="9"/>
    </row>
    <row r="568">
      <c r="E568" s="35"/>
      <c r="H568" s="9"/>
    </row>
    <row r="569">
      <c r="E569" s="35"/>
      <c r="H569" s="9"/>
    </row>
    <row r="570">
      <c r="E570" s="35"/>
      <c r="H570" s="9"/>
    </row>
    <row r="571">
      <c r="E571" s="35"/>
      <c r="H571" s="9"/>
    </row>
    <row r="572">
      <c r="E572" s="35"/>
      <c r="H572" s="9"/>
    </row>
    <row r="573">
      <c r="E573" s="35"/>
      <c r="H573" s="9"/>
    </row>
    <row r="574">
      <c r="E574" s="35"/>
      <c r="H574" s="9"/>
    </row>
    <row r="575">
      <c r="E575" s="35"/>
      <c r="H575" s="9"/>
    </row>
    <row r="576">
      <c r="E576" s="35"/>
      <c r="H576" s="9"/>
    </row>
    <row r="577">
      <c r="E577" s="35"/>
      <c r="H577" s="9"/>
    </row>
    <row r="578">
      <c r="E578" s="35"/>
      <c r="H578" s="9"/>
    </row>
    <row r="579">
      <c r="E579" s="35"/>
      <c r="H579" s="9"/>
    </row>
    <row r="580">
      <c r="E580" s="35"/>
      <c r="H580" s="9"/>
    </row>
    <row r="581">
      <c r="E581" s="35"/>
      <c r="H581" s="9"/>
    </row>
    <row r="582">
      <c r="E582" s="35"/>
      <c r="H582" s="9"/>
    </row>
    <row r="583">
      <c r="E583" s="35"/>
      <c r="H583" s="9"/>
    </row>
    <row r="584">
      <c r="E584" s="35"/>
      <c r="H584" s="9"/>
    </row>
    <row r="585">
      <c r="E585" s="35"/>
      <c r="H585" s="9"/>
    </row>
    <row r="586">
      <c r="E586" s="35"/>
      <c r="H586" s="9"/>
    </row>
    <row r="587">
      <c r="E587" s="35"/>
      <c r="H587" s="9"/>
    </row>
    <row r="588">
      <c r="E588" s="35"/>
      <c r="H588" s="9"/>
    </row>
    <row r="589">
      <c r="E589" s="35"/>
      <c r="H589" s="9"/>
    </row>
    <row r="590">
      <c r="E590" s="35"/>
      <c r="H590" s="9"/>
    </row>
    <row r="591">
      <c r="E591" s="35"/>
      <c r="H591" s="9"/>
    </row>
    <row r="592">
      <c r="E592" s="35"/>
      <c r="H592" s="9"/>
    </row>
    <row r="593">
      <c r="E593" s="35"/>
      <c r="H593" s="9"/>
    </row>
    <row r="594">
      <c r="E594" s="35"/>
      <c r="H594" s="9"/>
    </row>
    <row r="595">
      <c r="E595" s="35"/>
      <c r="H595" s="9"/>
    </row>
    <row r="596">
      <c r="E596" s="35"/>
      <c r="H596" s="9"/>
    </row>
    <row r="597">
      <c r="E597" s="35"/>
      <c r="H597" s="9"/>
    </row>
    <row r="598">
      <c r="E598" s="35"/>
      <c r="H598" s="9"/>
    </row>
    <row r="599">
      <c r="E599" s="35"/>
      <c r="H599" s="9"/>
    </row>
    <row r="600">
      <c r="E600" s="35"/>
      <c r="H600" s="9"/>
    </row>
    <row r="601">
      <c r="E601" s="35"/>
      <c r="H601" s="9"/>
    </row>
    <row r="602">
      <c r="E602" s="35"/>
      <c r="H602" s="9"/>
    </row>
    <row r="603">
      <c r="E603" s="35"/>
      <c r="H603" s="9"/>
    </row>
    <row r="604">
      <c r="E604" s="35"/>
      <c r="H604" s="9"/>
    </row>
    <row r="605">
      <c r="E605" s="35"/>
      <c r="H605" s="9"/>
    </row>
    <row r="606">
      <c r="E606" s="35"/>
      <c r="H606" s="9"/>
    </row>
    <row r="607">
      <c r="E607" s="35"/>
      <c r="H607" s="9"/>
    </row>
    <row r="608">
      <c r="E608" s="35"/>
      <c r="H608" s="9"/>
    </row>
    <row r="609">
      <c r="E609" s="35"/>
      <c r="H609" s="9"/>
    </row>
    <row r="610">
      <c r="E610" s="35"/>
      <c r="H610" s="9"/>
    </row>
    <row r="611">
      <c r="E611" s="35"/>
      <c r="H611" s="9"/>
    </row>
    <row r="612">
      <c r="E612" s="35"/>
      <c r="H612" s="9"/>
    </row>
    <row r="613">
      <c r="E613" s="35"/>
      <c r="H613" s="9"/>
    </row>
    <row r="614">
      <c r="E614" s="35"/>
      <c r="H614" s="9"/>
    </row>
    <row r="615">
      <c r="E615" s="35"/>
      <c r="H615" s="9"/>
    </row>
    <row r="616">
      <c r="E616" s="35"/>
      <c r="H616" s="9"/>
    </row>
    <row r="617">
      <c r="E617" s="35"/>
      <c r="H617" s="9"/>
    </row>
    <row r="618">
      <c r="E618" s="35"/>
      <c r="H618" s="9"/>
    </row>
    <row r="619">
      <c r="E619" s="35"/>
      <c r="H619" s="9"/>
    </row>
    <row r="620">
      <c r="E620" s="35"/>
      <c r="H620" s="9"/>
    </row>
    <row r="621">
      <c r="E621" s="35"/>
      <c r="H621" s="9"/>
    </row>
    <row r="622">
      <c r="E622" s="35"/>
      <c r="H622" s="9"/>
    </row>
    <row r="623">
      <c r="E623" s="35"/>
      <c r="H623" s="9"/>
    </row>
    <row r="624">
      <c r="E624" s="35"/>
      <c r="H624" s="9"/>
    </row>
    <row r="625">
      <c r="E625" s="35"/>
      <c r="H625" s="9"/>
    </row>
    <row r="626">
      <c r="E626" s="35"/>
      <c r="H626" s="9"/>
    </row>
    <row r="627">
      <c r="E627" s="35"/>
      <c r="H627" s="9"/>
    </row>
    <row r="628">
      <c r="E628" s="35"/>
      <c r="H628" s="9"/>
    </row>
    <row r="629">
      <c r="E629" s="35"/>
      <c r="H629" s="9"/>
    </row>
    <row r="630">
      <c r="E630" s="35"/>
      <c r="H630" s="9"/>
    </row>
    <row r="631">
      <c r="E631" s="35"/>
      <c r="H631" s="9"/>
    </row>
    <row r="632">
      <c r="E632" s="35"/>
      <c r="H632" s="9"/>
    </row>
    <row r="633">
      <c r="E633" s="35"/>
      <c r="H633" s="9"/>
    </row>
    <row r="634">
      <c r="E634" s="35"/>
      <c r="H634" s="9"/>
    </row>
    <row r="635">
      <c r="E635" s="35"/>
      <c r="H635" s="9"/>
    </row>
    <row r="636">
      <c r="E636" s="35"/>
      <c r="H636" s="9"/>
    </row>
    <row r="637">
      <c r="E637" s="35"/>
      <c r="H637" s="9"/>
    </row>
    <row r="638">
      <c r="E638" s="35"/>
      <c r="H638" s="9"/>
    </row>
    <row r="639">
      <c r="E639" s="35"/>
      <c r="H639" s="9"/>
    </row>
    <row r="640">
      <c r="E640" s="35"/>
      <c r="H640" s="9"/>
    </row>
    <row r="641">
      <c r="E641" s="35"/>
      <c r="H641" s="9"/>
    </row>
    <row r="642">
      <c r="E642" s="35"/>
      <c r="H642" s="9"/>
    </row>
    <row r="643">
      <c r="E643" s="35"/>
      <c r="H643" s="9"/>
    </row>
    <row r="644">
      <c r="E644" s="35"/>
      <c r="H644" s="9"/>
    </row>
    <row r="645">
      <c r="E645" s="35"/>
      <c r="H645" s="9"/>
    </row>
    <row r="646">
      <c r="E646" s="35"/>
      <c r="H646" s="9"/>
    </row>
    <row r="647">
      <c r="E647" s="35"/>
      <c r="H647" s="9"/>
    </row>
    <row r="648">
      <c r="E648" s="35"/>
      <c r="H648" s="9"/>
    </row>
    <row r="649">
      <c r="E649" s="35"/>
      <c r="H649" s="9"/>
    </row>
    <row r="650">
      <c r="E650" s="35"/>
      <c r="H650" s="9"/>
    </row>
    <row r="651">
      <c r="E651" s="35"/>
      <c r="H651" s="9"/>
    </row>
    <row r="652">
      <c r="E652" s="35"/>
      <c r="H652" s="9"/>
    </row>
    <row r="653">
      <c r="E653" s="35"/>
      <c r="H653" s="9"/>
    </row>
    <row r="654">
      <c r="E654" s="35"/>
      <c r="H654" s="9"/>
    </row>
    <row r="655">
      <c r="E655" s="35"/>
      <c r="H655" s="9"/>
    </row>
    <row r="656">
      <c r="E656" s="35"/>
      <c r="H656" s="9"/>
    </row>
    <row r="657">
      <c r="E657" s="35"/>
      <c r="H657" s="9"/>
    </row>
    <row r="658">
      <c r="E658" s="35"/>
      <c r="H658" s="9"/>
    </row>
    <row r="659">
      <c r="E659" s="35"/>
      <c r="H659" s="9"/>
    </row>
    <row r="660">
      <c r="E660" s="35"/>
      <c r="H660" s="9"/>
    </row>
    <row r="661">
      <c r="E661" s="35"/>
      <c r="H661" s="9"/>
    </row>
    <row r="662">
      <c r="E662" s="35"/>
      <c r="H662" s="9"/>
    </row>
    <row r="663">
      <c r="E663" s="35"/>
      <c r="H663" s="9"/>
    </row>
    <row r="664">
      <c r="E664" s="35"/>
      <c r="H664" s="9"/>
    </row>
    <row r="665">
      <c r="E665" s="35"/>
      <c r="H665" s="9"/>
    </row>
    <row r="666">
      <c r="E666" s="35"/>
      <c r="H666" s="9"/>
    </row>
    <row r="667">
      <c r="E667" s="35"/>
      <c r="H667" s="9"/>
    </row>
    <row r="668">
      <c r="E668" s="35"/>
      <c r="H668" s="9"/>
    </row>
    <row r="669">
      <c r="E669" s="35"/>
      <c r="H669" s="9"/>
    </row>
    <row r="670">
      <c r="E670" s="35"/>
      <c r="H670" s="9"/>
    </row>
    <row r="671">
      <c r="E671" s="35"/>
      <c r="H671" s="9"/>
    </row>
    <row r="672">
      <c r="E672" s="35"/>
      <c r="H672" s="9"/>
    </row>
    <row r="673">
      <c r="E673" s="35"/>
      <c r="H673" s="9"/>
    </row>
    <row r="674">
      <c r="E674" s="35"/>
      <c r="H674" s="9"/>
    </row>
    <row r="675">
      <c r="E675" s="35"/>
      <c r="H675" s="9"/>
    </row>
    <row r="676">
      <c r="E676" s="35"/>
      <c r="H676" s="9"/>
    </row>
    <row r="677">
      <c r="E677" s="35"/>
      <c r="H677" s="9"/>
    </row>
    <row r="678">
      <c r="E678" s="35"/>
      <c r="H678" s="9"/>
    </row>
    <row r="679">
      <c r="E679" s="35"/>
      <c r="H679" s="9"/>
    </row>
    <row r="680">
      <c r="E680" s="35"/>
      <c r="H680" s="9"/>
    </row>
    <row r="681">
      <c r="E681" s="35"/>
      <c r="H681" s="9"/>
    </row>
    <row r="682">
      <c r="E682" s="35"/>
      <c r="H682" s="9"/>
    </row>
    <row r="683">
      <c r="E683" s="35"/>
      <c r="H683" s="9"/>
    </row>
    <row r="684">
      <c r="E684" s="35"/>
      <c r="H684" s="9"/>
    </row>
    <row r="685">
      <c r="E685" s="35"/>
      <c r="H685" s="9"/>
    </row>
    <row r="686">
      <c r="E686" s="35"/>
      <c r="H686" s="9"/>
    </row>
    <row r="687">
      <c r="E687" s="35"/>
      <c r="H687" s="9"/>
    </row>
    <row r="688">
      <c r="E688" s="35"/>
      <c r="H688" s="9"/>
    </row>
    <row r="689">
      <c r="E689" s="35"/>
      <c r="H689" s="9"/>
    </row>
    <row r="690">
      <c r="E690" s="35"/>
      <c r="H690" s="9"/>
    </row>
    <row r="691">
      <c r="E691" s="35"/>
      <c r="H691" s="9"/>
    </row>
    <row r="692">
      <c r="E692" s="35"/>
      <c r="H692" s="9"/>
    </row>
    <row r="693">
      <c r="E693" s="35"/>
      <c r="H693" s="9"/>
    </row>
    <row r="694">
      <c r="E694" s="35"/>
      <c r="H694" s="9"/>
    </row>
    <row r="695">
      <c r="E695" s="35"/>
      <c r="H695" s="9"/>
    </row>
    <row r="696">
      <c r="E696" s="35"/>
      <c r="H696" s="9"/>
    </row>
    <row r="697">
      <c r="E697" s="35"/>
      <c r="H697" s="9"/>
    </row>
    <row r="698">
      <c r="E698" s="35"/>
      <c r="H698" s="9"/>
    </row>
    <row r="699">
      <c r="E699" s="35"/>
      <c r="H699" s="9"/>
    </row>
    <row r="700">
      <c r="E700" s="35"/>
      <c r="H700" s="9"/>
    </row>
    <row r="701">
      <c r="E701" s="35"/>
      <c r="H701" s="9"/>
    </row>
    <row r="702">
      <c r="E702" s="35"/>
      <c r="H702" s="9"/>
    </row>
    <row r="703">
      <c r="E703" s="35"/>
      <c r="H703" s="9"/>
    </row>
    <row r="704">
      <c r="E704" s="35"/>
      <c r="H704" s="9"/>
    </row>
    <row r="705">
      <c r="E705" s="35"/>
      <c r="H705" s="9"/>
    </row>
    <row r="706">
      <c r="E706" s="35"/>
      <c r="H706" s="9"/>
    </row>
    <row r="707">
      <c r="E707" s="35"/>
      <c r="H707" s="9"/>
    </row>
    <row r="708">
      <c r="E708" s="35"/>
      <c r="H708" s="9"/>
    </row>
    <row r="709">
      <c r="E709" s="35"/>
      <c r="H709" s="9"/>
    </row>
    <row r="710">
      <c r="E710" s="35"/>
      <c r="H710" s="9"/>
    </row>
    <row r="711">
      <c r="E711" s="35"/>
      <c r="H711" s="9"/>
    </row>
    <row r="712">
      <c r="E712" s="35"/>
      <c r="H712" s="9"/>
    </row>
    <row r="713">
      <c r="E713" s="35"/>
      <c r="H713" s="9"/>
    </row>
    <row r="714">
      <c r="E714" s="35"/>
      <c r="H714" s="9"/>
    </row>
    <row r="715">
      <c r="E715" s="35"/>
      <c r="H715" s="9"/>
    </row>
    <row r="716">
      <c r="E716" s="35"/>
      <c r="H716" s="9"/>
    </row>
    <row r="717">
      <c r="E717" s="35"/>
      <c r="H717" s="9"/>
    </row>
    <row r="718">
      <c r="E718" s="35"/>
      <c r="H718" s="9"/>
    </row>
    <row r="719">
      <c r="E719" s="35"/>
      <c r="H719" s="9"/>
    </row>
    <row r="720">
      <c r="E720" s="35"/>
      <c r="H720" s="9"/>
    </row>
    <row r="721">
      <c r="E721" s="35"/>
      <c r="H721" s="9"/>
    </row>
    <row r="722">
      <c r="E722" s="35"/>
      <c r="H722" s="9"/>
    </row>
    <row r="723">
      <c r="E723" s="35"/>
      <c r="H723" s="9"/>
    </row>
    <row r="724">
      <c r="E724" s="35"/>
      <c r="H724" s="9"/>
    </row>
    <row r="725">
      <c r="E725" s="35"/>
      <c r="H725" s="9"/>
    </row>
    <row r="726">
      <c r="E726" s="35"/>
      <c r="H726" s="9"/>
    </row>
    <row r="727">
      <c r="E727" s="35"/>
      <c r="H727" s="9"/>
    </row>
    <row r="728">
      <c r="E728" s="35"/>
      <c r="H728" s="9"/>
    </row>
    <row r="729">
      <c r="E729" s="35"/>
      <c r="H729" s="9"/>
    </row>
    <row r="730">
      <c r="E730" s="35"/>
      <c r="H730" s="9"/>
    </row>
    <row r="731">
      <c r="E731" s="35"/>
      <c r="H731" s="9"/>
    </row>
    <row r="732">
      <c r="E732" s="35"/>
      <c r="H732" s="9"/>
    </row>
    <row r="733">
      <c r="E733" s="35"/>
      <c r="H733" s="9"/>
    </row>
    <row r="734">
      <c r="E734" s="35"/>
      <c r="H734" s="9"/>
    </row>
    <row r="735">
      <c r="E735" s="35"/>
      <c r="H735" s="9"/>
    </row>
    <row r="736">
      <c r="E736" s="35"/>
      <c r="H736" s="9"/>
    </row>
    <row r="737">
      <c r="E737" s="35"/>
      <c r="H737" s="9"/>
    </row>
    <row r="738">
      <c r="E738" s="35"/>
      <c r="H738" s="9"/>
    </row>
    <row r="739">
      <c r="E739" s="35"/>
      <c r="H739" s="9"/>
    </row>
    <row r="740">
      <c r="E740" s="35"/>
      <c r="H740" s="9"/>
    </row>
    <row r="741">
      <c r="E741" s="35"/>
      <c r="H741" s="9"/>
    </row>
    <row r="742">
      <c r="E742" s="35"/>
      <c r="H742" s="9"/>
    </row>
    <row r="743">
      <c r="E743" s="35"/>
      <c r="H743" s="9"/>
    </row>
    <row r="744">
      <c r="E744" s="35"/>
      <c r="H744" s="9"/>
    </row>
    <row r="745">
      <c r="E745" s="35"/>
      <c r="H745" s="9"/>
    </row>
    <row r="746">
      <c r="E746" s="35"/>
      <c r="H746" s="9"/>
    </row>
    <row r="747">
      <c r="E747" s="35"/>
      <c r="H747" s="9"/>
    </row>
    <row r="748">
      <c r="E748" s="35"/>
      <c r="H748" s="9"/>
    </row>
    <row r="749">
      <c r="E749" s="35"/>
      <c r="H749" s="9"/>
    </row>
    <row r="750">
      <c r="E750" s="35"/>
      <c r="H750" s="9"/>
    </row>
    <row r="751">
      <c r="E751" s="35"/>
      <c r="H751" s="9"/>
    </row>
    <row r="752">
      <c r="E752" s="35"/>
      <c r="H752" s="9"/>
    </row>
    <row r="753">
      <c r="E753" s="35"/>
      <c r="H753" s="9"/>
    </row>
    <row r="754">
      <c r="E754" s="35"/>
      <c r="H754" s="9"/>
    </row>
    <row r="755">
      <c r="E755" s="35"/>
      <c r="H755" s="9"/>
    </row>
    <row r="756">
      <c r="E756" s="35"/>
      <c r="H756" s="9"/>
    </row>
    <row r="757">
      <c r="E757" s="35"/>
      <c r="H757" s="9"/>
    </row>
    <row r="758">
      <c r="E758" s="35"/>
      <c r="H758" s="9"/>
    </row>
    <row r="759">
      <c r="E759" s="35"/>
      <c r="H759" s="9"/>
    </row>
    <row r="760">
      <c r="E760" s="35"/>
      <c r="H760" s="9"/>
    </row>
    <row r="761">
      <c r="E761" s="35"/>
      <c r="H761" s="9"/>
    </row>
    <row r="762">
      <c r="E762" s="35"/>
      <c r="H762" s="9"/>
    </row>
    <row r="763">
      <c r="E763" s="35"/>
      <c r="H763" s="9"/>
    </row>
    <row r="764">
      <c r="E764" s="35"/>
      <c r="H764" s="9"/>
    </row>
    <row r="765">
      <c r="E765" s="35"/>
      <c r="H765" s="9"/>
    </row>
    <row r="766">
      <c r="E766" s="35"/>
      <c r="H766" s="9"/>
    </row>
    <row r="767">
      <c r="E767" s="35"/>
      <c r="H767" s="9"/>
    </row>
    <row r="768">
      <c r="E768" s="35"/>
      <c r="H768" s="9"/>
    </row>
    <row r="769">
      <c r="E769" s="35"/>
      <c r="H769" s="9"/>
    </row>
    <row r="770">
      <c r="E770" s="35"/>
      <c r="H770" s="9"/>
    </row>
    <row r="771">
      <c r="E771" s="35"/>
      <c r="H771" s="9"/>
    </row>
    <row r="772">
      <c r="E772" s="35"/>
      <c r="H772" s="9"/>
    </row>
    <row r="773">
      <c r="E773" s="35"/>
      <c r="H773" s="9"/>
    </row>
    <row r="774">
      <c r="E774" s="35"/>
      <c r="H774" s="9"/>
    </row>
    <row r="775">
      <c r="E775" s="35"/>
      <c r="H775" s="9"/>
    </row>
    <row r="776">
      <c r="E776" s="35"/>
      <c r="H776" s="9"/>
    </row>
    <row r="777">
      <c r="E777" s="35"/>
      <c r="H777" s="9"/>
    </row>
    <row r="778">
      <c r="E778" s="35"/>
      <c r="H778" s="9"/>
    </row>
    <row r="779">
      <c r="E779" s="35"/>
      <c r="H779" s="9"/>
    </row>
    <row r="780">
      <c r="E780" s="35"/>
      <c r="H780" s="9"/>
    </row>
    <row r="781">
      <c r="E781" s="35"/>
      <c r="H781" s="9"/>
    </row>
    <row r="782">
      <c r="E782" s="35"/>
      <c r="H782" s="9"/>
    </row>
    <row r="783">
      <c r="E783" s="35"/>
      <c r="H783" s="9"/>
    </row>
    <row r="784">
      <c r="E784" s="35"/>
      <c r="H784" s="9"/>
    </row>
    <row r="785">
      <c r="E785" s="35"/>
      <c r="H785" s="9"/>
    </row>
    <row r="786">
      <c r="E786" s="35"/>
      <c r="H786" s="9"/>
    </row>
    <row r="787">
      <c r="E787" s="35"/>
      <c r="H787" s="9"/>
    </row>
    <row r="788">
      <c r="E788" s="35"/>
      <c r="H788" s="9"/>
    </row>
    <row r="789">
      <c r="E789" s="35"/>
      <c r="H789" s="9"/>
    </row>
    <row r="790">
      <c r="E790" s="35"/>
      <c r="H790" s="9"/>
    </row>
    <row r="791">
      <c r="E791" s="35"/>
      <c r="H791" s="9"/>
    </row>
    <row r="792">
      <c r="E792" s="35"/>
      <c r="H792" s="9"/>
    </row>
    <row r="793">
      <c r="E793" s="35"/>
      <c r="H793" s="9"/>
    </row>
    <row r="794">
      <c r="E794" s="35"/>
      <c r="H794" s="9"/>
    </row>
    <row r="795">
      <c r="E795" s="35"/>
      <c r="H795" s="9"/>
    </row>
    <row r="796">
      <c r="E796" s="35"/>
      <c r="H796" s="9"/>
    </row>
    <row r="797">
      <c r="E797" s="35"/>
      <c r="H797" s="9"/>
    </row>
    <row r="798">
      <c r="E798" s="35"/>
      <c r="H798" s="9"/>
    </row>
    <row r="799">
      <c r="E799" s="35"/>
      <c r="H799" s="9"/>
    </row>
    <row r="800">
      <c r="E800" s="35"/>
      <c r="H800" s="9"/>
    </row>
    <row r="801">
      <c r="E801" s="35"/>
      <c r="H801" s="9"/>
    </row>
    <row r="802">
      <c r="E802" s="35"/>
      <c r="H802" s="9"/>
    </row>
    <row r="803">
      <c r="E803" s="35"/>
      <c r="H803" s="9"/>
    </row>
    <row r="804">
      <c r="E804" s="35"/>
      <c r="H804" s="9"/>
    </row>
    <row r="805">
      <c r="E805" s="35"/>
      <c r="H805" s="9"/>
    </row>
    <row r="806">
      <c r="E806" s="35"/>
      <c r="H806" s="9"/>
    </row>
    <row r="807">
      <c r="E807" s="35"/>
      <c r="H807" s="9"/>
    </row>
    <row r="808">
      <c r="E808" s="35"/>
      <c r="H808" s="9"/>
    </row>
    <row r="809">
      <c r="E809" s="35"/>
      <c r="H809" s="9"/>
    </row>
    <row r="810">
      <c r="E810" s="35"/>
      <c r="H810" s="9"/>
    </row>
    <row r="811">
      <c r="E811" s="35"/>
      <c r="H811" s="9"/>
    </row>
    <row r="812">
      <c r="E812" s="35"/>
      <c r="H812" s="9"/>
    </row>
    <row r="813">
      <c r="E813" s="35"/>
      <c r="H813" s="9"/>
    </row>
    <row r="814">
      <c r="E814" s="35"/>
      <c r="H814" s="9"/>
    </row>
    <row r="815">
      <c r="E815" s="35"/>
      <c r="H815" s="9"/>
    </row>
    <row r="816">
      <c r="E816" s="35"/>
      <c r="H816" s="9"/>
    </row>
    <row r="817">
      <c r="E817" s="35"/>
      <c r="H817" s="9"/>
    </row>
    <row r="818">
      <c r="E818" s="35"/>
      <c r="H818" s="9"/>
    </row>
    <row r="819">
      <c r="E819" s="35"/>
      <c r="H819" s="9"/>
    </row>
    <row r="820">
      <c r="E820" s="35"/>
      <c r="H820" s="9"/>
    </row>
    <row r="821">
      <c r="E821" s="35"/>
      <c r="H821" s="9"/>
    </row>
    <row r="822">
      <c r="E822" s="35"/>
      <c r="H822" s="9"/>
    </row>
    <row r="823">
      <c r="E823" s="35"/>
      <c r="H823" s="9"/>
    </row>
    <row r="824">
      <c r="E824" s="35"/>
      <c r="H824" s="9"/>
    </row>
    <row r="825">
      <c r="E825" s="35"/>
      <c r="H825" s="9"/>
    </row>
    <row r="826">
      <c r="E826" s="35"/>
      <c r="H826" s="9"/>
    </row>
    <row r="827">
      <c r="E827" s="35"/>
      <c r="H827" s="9"/>
    </row>
    <row r="828">
      <c r="E828" s="35"/>
      <c r="H828" s="9"/>
    </row>
    <row r="829">
      <c r="E829" s="35"/>
      <c r="H829" s="9"/>
    </row>
    <row r="830">
      <c r="E830" s="35"/>
      <c r="H830" s="9"/>
    </row>
    <row r="831">
      <c r="E831" s="35"/>
      <c r="H831" s="9"/>
    </row>
    <row r="832">
      <c r="E832" s="35"/>
      <c r="H832" s="9"/>
    </row>
    <row r="833">
      <c r="E833" s="35"/>
      <c r="H833" s="9"/>
    </row>
    <row r="834">
      <c r="E834" s="35"/>
      <c r="H834" s="9"/>
    </row>
    <row r="835">
      <c r="E835" s="35"/>
      <c r="H835" s="9"/>
    </row>
    <row r="836">
      <c r="E836" s="35"/>
      <c r="H836" s="9"/>
    </row>
    <row r="837">
      <c r="E837" s="35"/>
      <c r="H837" s="9"/>
    </row>
    <row r="838">
      <c r="E838" s="35"/>
      <c r="H838" s="9"/>
    </row>
    <row r="839">
      <c r="E839" s="35"/>
      <c r="H839" s="9"/>
    </row>
    <row r="840">
      <c r="E840" s="35"/>
      <c r="H840" s="9"/>
    </row>
    <row r="841">
      <c r="E841" s="35"/>
      <c r="H841" s="9"/>
    </row>
    <row r="842">
      <c r="E842" s="35"/>
      <c r="H842" s="9"/>
    </row>
    <row r="843">
      <c r="E843" s="35"/>
      <c r="H843" s="9"/>
    </row>
    <row r="844">
      <c r="E844" s="35"/>
      <c r="H844" s="9"/>
    </row>
    <row r="845">
      <c r="E845" s="35"/>
      <c r="H845" s="9"/>
    </row>
    <row r="846">
      <c r="E846" s="35"/>
      <c r="H846" s="9"/>
    </row>
    <row r="847">
      <c r="E847" s="35"/>
      <c r="H847" s="9"/>
    </row>
    <row r="848">
      <c r="E848" s="35"/>
      <c r="H848" s="9"/>
    </row>
    <row r="849">
      <c r="E849" s="35"/>
      <c r="H849" s="9"/>
    </row>
    <row r="850">
      <c r="E850" s="35"/>
      <c r="H850" s="9"/>
    </row>
    <row r="851">
      <c r="E851" s="35"/>
      <c r="H851" s="9"/>
    </row>
    <row r="852">
      <c r="E852" s="35"/>
      <c r="H852" s="9"/>
    </row>
    <row r="853">
      <c r="E853" s="35"/>
      <c r="H853" s="9"/>
    </row>
    <row r="854">
      <c r="E854" s="35"/>
      <c r="H854" s="9"/>
    </row>
    <row r="855">
      <c r="E855" s="35"/>
      <c r="H855" s="9"/>
    </row>
    <row r="856">
      <c r="E856" s="35"/>
      <c r="H856" s="9"/>
    </row>
    <row r="857">
      <c r="E857" s="35"/>
      <c r="H857" s="9"/>
    </row>
    <row r="858">
      <c r="E858" s="35"/>
      <c r="H858" s="9"/>
    </row>
    <row r="859">
      <c r="E859" s="35"/>
      <c r="H859" s="9"/>
    </row>
    <row r="860">
      <c r="E860" s="35"/>
      <c r="H860" s="9"/>
    </row>
    <row r="861">
      <c r="E861" s="35"/>
      <c r="H861" s="9"/>
    </row>
    <row r="862">
      <c r="E862" s="35"/>
      <c r="H862" s="9"/>
    </row>
    <row r="863">
      <c r="E863" s="35"/>
      <c r="H863" s="9"/>
    </row>
    <row r="864">
      <c r="E864" s="35"/>
      <c r="H864" s="9"/>
    </row>
    <row r="865">
      <c r="E865" s="35"/>
      <c r="H865" s="9"/>
    </row>
    <row r="866">
      <c r="E866" s="35"/>
      <c r="H866" s="9"/>
    </row>
    <row r="867">
      <c r="E867" s="35"/>
      <c r="H867" s="9"/>
    </row>
    <row r="868">
      <c r="E868" s="35"/>
      <c r="H868" s="9"/>
    </row>
    <row r="869">
      <c r="E869" s="35"/>
      <c r="H869" s="9"/>
    </row>
    <row r="870">
      <c r="E870" s="35"/>
      <c r="H870" s="9"/>
    </row>
    <row r="871">
      <c r="E871" s="35"/>
      <c r="H871" s="9"/>
    </row>
    <row r="872">
      <c r="E872" s="35"/>
      <c r="H872" s="9"/>
    </row>
    <row r="873">
      <c r="E873" s="35"/>
      <c r="H873" s="9"/>
    </row>
    <row r="874">
      <c r="E874" s="35"/>
      <c r="H874" s="9"/>
    </row>
    <row r="875">
      <c r="E875" s="35"/>
      <c r="H875" s="9"/>
    </row>
    <row r="876">
      <c r="E876" s="35"/>
      <c r="H876" s="9"/>
    </row>
    <row r="877">
      <c r="E877" s="35"/>
      <c r="H877" s="9"/>
    </row>
    <row r="878">
      <c r="E878" s="35"/>
      <c r="H878" s="9"/>
    </row>
    <row r="879">
      <c r="E879" s="35"/>
      <c r="H879" s="9"/>
    </row>
    <row r="880">
      <c r="E880" s="35"/>
      <c r="H880" s="9"/>
    </row>
    <row r="881">
      <c r="E881" s="35"/>
      <c r="H881" s="9"/>
    </row>
    <row r="882">
      <c r="E882" s="35"/>
      <c r="H882" s="9"/>
    </row>
    <row r="883">
      <c r="E883" s="35"/>
      <c r="H883" s="9"/>
    </row>
    <row r="884">
      <c r="E884" s="35"/>
      <c r="H884" s="9"/>
    </row>
    <row r="885">
      <c r="E885" s="35"/>
      <c r="H885" s="9"/>
    </row>
    <row r="886">
      <c r="E886" s="35"/>
      <c r="H886" s="9"/>
    </row>
    <row r="887">
      <c r="E887" s="35"/>
      <c r="H887" s="9"/>
    </row>
    <row r="888">
      <c r="E888" s="35"/>
      <c r="H888" s="9"/>
    </row>
    <row r="889">
      <c r="E889" s="35"/>
      <c r="H889" s="9"/>
    </row>
    <row r="890">
      <c r="E890" s="35"/>
      <c r="H890" s="9"/>
    </row>
    <row r="891">
      <c r="E891" s="35"/>
      <c r="H891" s="9"/>
    </row>
    <row r="892">
      <c r="E892" s="35"/>
      <c r="H892" s="9"/>
    </row>
    <row r="893">
      <c r="E893" s="35"/>
      <c r="H893" s="9"/>
    </row>
    <row r="894">
      <c r="E894" s="35"/>
      <c r="H894" s="9"/>
    </row>
    <row r="895">
      <c r="E895" s="35"/>
      <c r="H895" s="9"/>
    </row>
    <row r="896">
      <c r="E896" s="35"/>
      <c r="H896" s="9"/>
    </row>
    <row r="897">
      <c r="E897" s="35"/>
      <c r="H897" s="9"/>
    </row>
    <row r="898">
      <c r="E898" s="35"/>
      <c r="H898" s="9"/>
    </row>
    <row r="899">
      <c r="E899" s="35"/>
      <c r="H899" s="9"/>
    </row>
    <row r="900">
      <c r="E900" s="35"/>
      <c r="H900" s="9"/>
    </row>
    <row r="901">
      <c r="E901" s="35"/>
      <c r="H901" s="9"/>
    </row>
    <row r="902">
      <c r="E902" s="35"/>
      <c r="H902" s="9"/>
    </row>
    <row r="903">
      <c r="E903" s="35"/>
      <c r="H903" s="9"/>
    </row>
    <row r="904">
      <c r="E904" s="35"/>
      <c r="H904" s="9"/>
    </row>
    <row r="905">
      <c r="E905" s="35"/>
      <c r="H905" s="9"/>
    </row>
    <row r="906">
      <c r="E906" s="35"/>
      <c r="H906" s="9"/>
    </row>
    <row r="907">
      <c r="E907" s="35"/>
      <c r="H907" s="9"/>
    </row>
    <row r="908">
      <c r="E908" s="35"/>
      <c r="H908" s="9"/>
    </row>
    <row r="909">
      <c r="E909" s="35"/>
      <c r="H909" s="9"/>
    </row>
    <row r="910">
      <c r="E910" s="35"/>
      <c r="H910" s="9"/>
    </row>
    <row r="911">
      <c r="E911" s="35"/>
      <c r="H911" s="9"/>
    </row>
    <row r="912">
      <c r="E912" s="35"/>
      <c r="H912" s="9"/>
    </row>
    <row r="913">
      <c r="E913" s="35"/>
      <c r="H913" s="9"/>
    </row>
    <row r="914">
      <c r="E914" s="35"/>
      <c r="H914" s="9"/>
    </row>
    <row r="915">
      <c r="E915" s="35"/>
      <c r="H915" s="9"/>
    </row>
    <row r="916">
      <c r="E916" s="35"/>
      <c r="H916" s="9"/>
    </row>
    <row r="917">
      <c r="E917" s="35"/>
      <c r="H917" s="9"/>
    </row>
    <row r="918">
      <c r="E918" s="35"/>
      <c r="H918" s="9"/>
    </row>
    <row r="919">
      <c r="E919" s="35"/>
      <c r="H919" s="9"/>
    </row>
    <row r="920">
      <c r="E920" s="35"/>
      <c r="H920" s="9"/>
    </row>
    <row r="921">
      <c r="E921" s="35"/>
      <c r="H921" s="9"/>
    </row>
    <row r="922">
      <c r="E922" s="35"/>
      <c r="H922" s="9"/>
    </row>
    <row r="923">
      <c r="E923" s="35"/>
      <c r="H923" s="9"/>
    </row>
    <row r="924">
      <c r="E924" s="35"/>
      <c r="H924" s="9"/>
    </row>
    <row r="925">
      <c r="E925" s="35"/>
      <c r="H925" s="9"/>
    </row>
    <row r="926">
      <c r="E926" s="35"/>
      <c r="H926" s="9"/>
    </row>
    <row r="927">
      <c r="E927" s="35"/>
      <c r="H927" s="9"/>
    </row>
    <row r="928">
      <c r="E928" s="35"/>
      <c r="H928" s="9"/>
    </row>
    <row r="929">
      <c r="E929" s="35"/>
      <c r="H929" s="9"/>
    </row>
    <row r="930">
      <c r="E930" s="35"/>
      <c r="H930" s="9"/>
    </row>
    <row r="931">
      <c r="E931" s="35"/>
      <c r="H931" s="9"/>
    </row>
    <row r="932">
      <c r="E932" s="35"/>
      <c r="H932" s="9"/>
    </row>
    <row r="933">
      <c r="E933" s="35"/>
      <c r="H933" s="9"/>
    </row>
    <row r="934">
      <c r="E934" s="35"/>
      <c r="H934" s="9"/>
    </row>
    <row r="935">
      <c r="E935" s="35"/>
      <c r="H935" s="9"/>
    </row>
    <row r="936">
      <c r="E936" s="35"/>
      <c r="H936" s="9"/>
    </row>
    <row r="937">
      <c r="E937" s="35"/>
      <c r="H937" s="9"/>
    </row>
    <row r="938">
      <c r="E938" s="35"/>
      <c r="H938" s="9"/>
    </row>
    <row r="939">
      <c r="E939" s="35"/>
      <c r="H939" s="9"/>
    </row>
    <row r="940">
      <c r="E940" s="35"/>
      <c r="H940" s="9"/>
    </row>
    <row r="941">
      <c r="E941" s="35"/>
      <c r="H941" s="9"/>
    </row>
    <row r="942">
      <c r="E942" s="35"/>
      <c r="H942" s="9"/>
    </row>
    <row r="943">
      <c r="E943" s="35"/>
      <c r="H943" s="9"/>
    </row>
    <row r="944">
      <c r="E944" s="35"/>
      <c r="H944" s="9"/>
    </row>
    <row r="945">
      <c r="E945" s="35"/>
      <c r="H945" s="9"/>
    </row>
    <row r="946">
      <c r="E946" s="35"/>
      <c r="H946" s="9"/>
    </row>
    <row r="947">
      <c r="E947" s="35"/>
      <c r="H947" s="9"/>
    </row>
    <row r="948">
      <c r="E948" s="35"/>
      <c r="H948" s="9"/>
    </row>
    <row r="949">
      <c r="E949" s="35"/>
      <c r="H949" s="9"/>
    </row>
    <row r="950">
      <c r="E950" s="35"/>
      <c r="H950" s="9"/>
    </row>
    <row r="951">
      <c r="E951" s="35"/>
      <c r="H951" s="9"/>
    </row>
    <row r="952">
      <c r="E952" s="35"/>
      <c r="H952" s="9"/>
    </row>
    <row r="953">
      <c r="E953" s="35"/>
      <c r="H953" s="9"/>
    </row>
    <row r="954">
      <c r="E954" s="35"/>
      <c r="H954" s="9"/>
    </row>
    <row r="955">
      <c r="E955" s="35"/>
      <c r="H955" s="9"/>
    </row>
    <row r="956">
      <c r="E956" s="35"/>
      <c r="H956" s="9"/>
    </row>
    <row r="957">
      <c r="E957" s="35"/>
      <c r="H957" s="9"/>
    </row>
    <row r="958">
      <c r="E958" s="35"/>
      <c r="H958" s="9"/>
    </row>
    <row r="959">
      <c r="E959" s="35"/>
      <c r="H959" s="9"/>
    </row>
    <row r="960">
      <c r="E960" s="35"/>
      <c r="H960" s="9"/>
    </row>
    <row r="961">
      <c r="E961" s="35"/>
      <c r="H961" s="9"/>
    </row>
    <row r="962">
      <c r="E962" s="35"/>
      <c r="H962" s="9"/>
    </row>
    <row r="963">
      <c r="E963" s="35"/>
      <c r="H963" s="9"/>
    </row>
    <row r="964">
      <c r="E964" s="35"/>
      <c r="H964" s="9"/>
    </row>
    <row r="965">
      <c r="E965" s="35"/>
      <c r="H965" s="9"/>
    </row>
    <row r="966">
      <c r="E966" s="35"/>
      <c r="H966" s="9"/>
    </row>
    <row r="967">
      <c r="E967" s="35"/>
      <c r="H967" s="9"/>
    </row>
    <row r="968">
      <c r="E968" s="35"/>
      <c r="H968" s="9"/>
    </row>
    <row r="969">
      <c r="E969" s="35"/>
      <c r="H969" s="9"/>
    </row>
    <row r="970">
      <c r="E970" s="35"/>
      <c r="H970" s="9"/>
    </row>
    <row r="971">
      <c r="E971" s="35"/>
      <c r="H971" s="9"/>
    </row>
    <row r="972">
      <c r="E972" s="35"/>
      <c r="H972" s="9"/>
    </row>
    <row r="973">
      <c r="E973" s="35"/>
      <c r="H973" s="9"/>
    </row>
    <row r="974">
      <c r="E974" s="35"/>
      <c r="H974" s="9"/>
    </row>
    <row r="975">
      <c r="E975" s="35"/>
      <c r="H975" s="9"/>
    </row>
    <row r="976">
      <c r="E976" s="35"/>
      <c r="H976" s="9"/>
    </row>
    <row r="977">
      <c r="E977" s="35"/>
      <c r="H977" s="9"/>
    </row>
    <row r="978">
      <c r="E978" s="35"/>
      <c r="H978" s="9"/>
    </row>
    <row r="979">
      <c r="E979" s="35"/>
      <c r="H979" s="9"/>
    </row>
    <row r="980">
      <c r="E980" s="35"/>
      <c r="H980" s="9"/>
    </row>
    <row r="981">
      <c r="E981" s="35"/>
      <c r="H981" s="9"/>
    </row>
    <row r="982">
      <c r="E982" s="35"/>
      <c r="H982" s="9"/>
    </row>
    <row r="983">
      <c r="E983" s="35"/>
      <c r="H983" s="9"/>
    </row>
    <row r="984">
      <c r="E984" s="35"/>
      <c r="H984" s="9"/>
    </row>
    <row r="985">
      <c r="E985" s="35"/>
      <c r="H985" s="9"/>
    </row>
    <row r="986">
      <c r="E986" s="35"/>
      <c r="H986" s="9"/>
    </row>
    <row r="987">
      <c r="E987" s="35"/>
      <c r="H987" s="9"/>
    </row>
    <row r="988">
      <c r="E988" s="35"/>
      <c r="H988" s="9"/>
    </row>
    <row r="989">
      <c r="E989" s="35"/>
      <c r="H989" s="9"/>
    </row>
    <row r="990">
      <c r="E990" s="35"/>
      <c r="H990" s="9"/>
    </row>
    <row r="991">
      <c r="E991" s="35"/>
      <c r="H991" s="9"/>
    </row>
    <row r="992">
      <c r="E992" s="35"/>
      <c r="H992" s="9"/>
    </row>
    <row r="993">
      <c r="E993" s="35"/>
      <c r="H993" s="9"/>
    </row>
    <row r="994">
      <c r="E994" s="35"/>
      <c r="H994" s="9"/>
    </row>
    <row r="995">
      <c r="E995" s="35"/>
      <c r="H995" s="9"/>
    </row>
    <row r="996">
      <c r="E996" s="35"/>
      <c r="H996" s="9"/>
    </row>
    <row r="997">
      <c r="E997" s="35"/>
      <c r="H997" s="9"/>
    </row>
    <row r="998">
      <c r="E998" s="35"/>
      <c r="H998" s="9"/>
    </row>
    <row r="999">
      <c r="E999" s="35"/>
      <c r="H999" s="9"/>
    </row>
    <row r="1000">
      <c r="E1000" s="35"/>
      <c r="H1000" s="9"/>
    </row>
  </sheetData>
  <autoFilter ref="$E$2:$H$5">
    <sortState ref="E2:H5">
      <sortCondition ref="G2:G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15</v>
      </c>
      <c r="B1" s="11" t="s">
        <v>285</v>
      </c>
      <c r="C1" s="11" t="s">
        <v>22</v>
      </c>
      <c r="D1" s="7" t="s">
        <v>290</v>
      </c>
    </row>
    <row r="2">
      <c r="A2" s="35" t="s">
        <v>42</v>
      </c>
      <c r="B2" s="8">
        <v>10.0</v>
      </c>
      <c r="C2" s="23">
        <v>8.85</v>
      </c>
      <c r="D2" s="9">
        <v>0.885</v>
      </c>
    </row>
    <row r="3">
      <c r="A3" s="35" t="s">
        <v>61</v>
      </c>
      <c r="B3" s="8">
        <v>5.0</v>
      </c>
      <c r="C3" s="23">
        <v>4.0</v>
      </c>
      <c r="D3" s="9">
        <v>0.8</v>
      </c>
    </row>
    <row r="4">
      <c r="A4" s="35" t="s">
        <v>248</v>
      </c>
      <c r="B4" s="8">
        <v>5.0</v>
      </c>
      <c r="C4" s="23">
        <v>3.6500000000000004</v>
      </c>
      <c r="D4" s="9">
        <v>0.7300000000000001</v>
      </c>
    </row>
    <row r="5">
      <c r="A5" s="35" t="s">
        <v>53</v>
      </c>
      <c r="B5" s="8">
        <v>10.0</v>
      </c>
      <c r="C5" s="23">
        <v>6.699999999999999</v>
      </c>
      <c r="D5" s="9">
        <v>0.6699999999999999</v>
      </c>
    </row>
    <row r="6">
      <c r="A6" s="35" t="s">
        <v>41</v>
      </c>
      <c r="B6" s="8">
        <v>5.0</v>
      </c>
      <c r="C6" s="23">
        <v>3.3499999999999996</v>
      </c>
      <c r="D6" s="9">
        <v>0.6699999999999999</v>
      </c>
    </row>
    <row r="7">
      <c r="A7" s="11" t="s">
        <v>37</v>
      </c>
      <c r="B7" s="8">
        <v>20.0</v>
      </c>
      <c r="C7" s="23">
        <v>8.75</v>
      </c>
      <c r="D7" s="9">
        <v>0.4375</v>
      </c>
    </row>
    <row r="8">
      <c r="A8" s="35" t="s">
        <v>69</v>
      </c>
      <c r="B8" s="8">
        <v>5.0</v>
      </c>
      <c r="C8" s="23">
        <v>2.0</v>
      </c>
      <c r="D8" s="9">
        <v>0.4</v>
      </c>
    </row>
    <row r="9">
      <c r="A9" s="35" t="s">
        <v>78</v>
      </c>
      <c r="B9" s="8">
        <v>25.0</v>
      </c>
      <c r="C9" s="23">
        <v>2.9</v>
      </c>
      <c r="D9" s="9">
        <v>0.11599999999999999</v>
      </c>
    </row>
    <row r="10">
      <c r="A10" s="35" t="s">
        <v>57</v>
      </c>
      <c r="B10" s="8">
        <v>20.0</v>
      </c>
      <c r="C10" s="23">
        <v>0.6500000000000004</v>
      </c>
      <c r="D10" s="9">
        <v>0.032500000000000015</v>
      </c>
    </row>
    <row r="11">
      <c r="A11" s="35" t="s">
        <v>38</v>
      </c>
      <c r="B11" s="8">
        <v>30.0</v>
      </c>
      <c r="C11" s="23">
        <v>0.04999999999999982</v>
      </c>
      <c r="D11" s="9">
        <v>0.0016666666666666607</v>
      </c>
    </row>
    <row r="12">
      <c r="A12" s="35" t="s">
        <v>32</v>
      </c>
      <c r="B12" s="8">
        <v>20.0</v>
      </c>
      <c r="C12" s="23">
        <v>-0.20000000000000107</v>
      </c>
      <c r="D12" s="9">
        <v>-0.010000000000000054</v>
      </c>
    </row>
    <row r="13">
      <c r="A13" s="11" t="s">
        <v>51</v>
      </c>
      <c r="B13" s="8">
        <v>25.0</v>
      </c>
      <c r="C13" s="23">
        <v>-1.0</v>
      </c>
      <c r="D13" s="9">
        <v>-0.04</v>
      </c>
    </row>
    <row r="14">
      <c r="A14" s="35" t="s">
        <v>31</v>
      </c>
      <c r="B14" s="8">
        <v>15.0</v>
      </c>
      <c r="C14" s="23">
        <v>-1.0999999999999996</v>
      </c>
      <c r="D14" s="9">
        <v>-0.0733333333333333</v>
      </c>
    </row>
    <row r="15">
      <c r="A15" s="35" t="s">
        <v>46</v>
      </c>
      <c r="B15" s="8">
        <v>35.0</v>
      </c>
      <c r="C15" s="23">
        <v>-4.3999999999999995</v>
      </c>
      <c r="D15" s="9">
        <v>-0.1257142857142857</v>
      </c>
    </row>
    <row r="16">
      <c r="A16" s="35" t="s">
        <v>246</v>
      </c>
      <c r="B16" s="8">
        <v>20.0</v>
      </c>
      <c r="C16" s="23">
        <v>-5.6</v>
      </c>
      <c r="D16" s="9">
        <v>-0.27999999999999997</v>
      </c>
    </row>
    <row r="17">
      <c r="A17" s="11" t="s">
        <v>58</v>
      </c>
      <c r="B17" s="8">
        <v>15.0</v>
      </c>
      <c r="C17" s="23">
        <v>-7.5</v>
      </c>
      <c r="D17" s="9">
        <v>-0.5</v>
      </c>
    </row>
    <row r="18">
      <c r="A18" s="11" t="s">
        <v>45</v>
      </c>
      <c r="B18" s="8">
        <v>5.0</v>
      </c>
      <c r="C18" s="23">
        <v>-5.0</v>
      </c>
      <c r="D18" s="9">
        <v>-1.0</v>
      </c>
    </row>
    <row r="19">
      <c r="A19" s="35" t="s">
        <v>100</v>
      </c>
      <c r="B19" s="8">
        <v>5.0</v>
      </c>
      <c r="C19" s="23">
        <v>-5.0</v>
      </c>
      <c r="D19" s="9">
        <v>-1.0</v>
      </c>
    </row>
    <row r="20">
      <c r="A20" s="35" t="s">
        <v>70</v>
      </c>
      <c r="B20" s="8">
        <v>6.0</v>
      </c>
      <c r="C20" s="23">
        <v>-6.0</v>
      </c>
      <c r="D20" s="9">
        <v>-1.0</v>
      </c>
    </row>
    <row r="21">
      <c r="A21" s="35" t="s">
        <v>59</v>
      </c>
      <c r="B21" s="8">
        <v>5.0</v>
      </c>
      <c r="C21" s="23">
        <v>-5.0</v>
      </c>
      <c r="D21" s="9">
        <v>-1.0</v>
      </c>
    </row>
    <row r="22">
      <c r="A22" s="35" t="s">
        <v>250</v>
      </c>
      <c r="B22" s="8">
        <v>5.0</v>
      </c>
      <c r="C22" s="23">
        <v>-5.0</v>
      </c>
      <c r="D22" s="9">
        <v>-1.0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M9" s="7" t="s">
        <v>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4.0"/>
    <col customWidth="1" min="4" max="4" width="3.25"/>
    <col customWidth="1" min="5" max="6" width="7.13"/>
    <col customWidth="1" min="7" max="7" width="6.5"/>
    <col customWidth="1" min="8" max="8" width="8.38"/>
    <col customWidth="1" min="9" max="9" width="6.0"/>
    <col customWidth="1" min="10" max="10" width="5.5"/>
    <col customWidth="1" min="11" max="11" width="7.25"/>
    <col customWidth="1" min="12" max="12" width="7.38"/>
  </cols>
  <sheetData>
    <row r="1">
      <c r="A1" s="7" t="s">
        <v>12</v>
      </c>
      <c r="B1" s="7" t="s">
        <v>6</v>
      </c>
      <c r="C1" s="7" t="s">
        <v>34</v>
      </c>
      <c r="D1" s="7" t="s">
        <v>44</v>
      </c>
      <c r="E1" s="22" t="s">
        <v>24</v>
      </c>
      <c r="F1" s="7" t="s">
        <v>291</v>
      </c>
      <c r="G1" s="7" t="s">
        <v>292</v>
      </c>
      <c r="H1" s="7" t="s">
        <v>293</v>
      </c>
      <c r="I1" s="7" t="s">
        <v>294</v>
      </c>
      <c r="J1" s="7" t="s">
        <v>295</v>
      </c>
      <c r="K1" s="36" t="s">
        <v>296</v>
      </c>
      <c r="L1" s="37" t="s">
        <v>297</v>
      </c>
      <c r="M1" s="7" t="s">
        <v>298</v>
      </c>
    </row>
    <row r="2">
      <c r="A2" s="7">
        <v>1.0</v>
      </c>
      <c r="B2" s="11">
        <f>COUNTIF(Bets!C300:C601, A2)</f>
        <v>3</v>
      </c>
      <c r="C2" s="11">
        <f>COUNTIFS(Bets!C300:C601, A2, Bets!M300:M601, "W")</f>
        <v>1</v>
      </c>
      <c r="D2" s="11">
        <f>COUNTIFS(Bets!C300:C601, A2, Bets!M300:M601, "L")</f>
        <v>1</v>
      </c>
      <c r="E2" s="38">
        <f>SUMIF(Bets!C300:C601, A2, Bets!O300:O601)</f>
        <v>-4.5</v>
      </c>
      <c r="F2" s="9">
        <f t="shared" ref="F2:F27" si="1">IF(C2 &gt; 0, C2 / B2, 0)</f>
        <v>0.3333333333</v>
      </c>
      <c r="G2" s="9">
        <f t="shared" ref="G2:G27" si="2">IF(D2 &gt; 0, D2 / B2, 0)</f>
        <v>0.3333333333</v>
      </c>
      <c r="H2" s="11">
        <f t="shared" ref="H2:H27" si="3">sum($B$2:B2)</f>
        <v>3</v>
      </c>
      <c r="I2" s="11">
        <f t="shared" ref="I2:I27" si="4">sum($C$2:C2)</f>
        <v>1</v>
      </c>
      <c r="J2" s="11">
        <f t="shared" ref="J2:J27" si="5">sum($D$2:D2)</f>
        <v>1</v>
      </c>
      <c r="K2" s="39">
        <f t="shared" ref="K2:K27" si="6">IF(H2 &gt; 0, I2 / H2, 0)</f>
        <v>0.3333333333</v>
      </c>
      <c r="L2" s="40">
        <f t="shared" ref="L2:L27" si="7">IF(H2 &gt; 0, J2 / H2, 0)</f>
        <v>0.3333333333</v>
      </c>
      <c r="M2" s="23">
        <f t="shared" ref="M2:M27" si="8">sum($E$2:E2)</f>
        <v>-4.5</v>
      </c>
    </row>
    <row r="3">
      <c r="A3" s="7">
        <v>2.0</v>
      </c>
      <c r="B3" s="11">
        <f>COUNTIF(Bets!C301:C602, A3)</f>
        <v>3</v>
      </c>
      <c r="C3" s="11">
        <f>COUNTIFS(Bets!C301:C602, A3, Bets!M301:M602, "W")</f>
        <v>2</v>
      </c>
      <c r="D3" s="11">
        <f>COUNTIFS(Bets!C301:C602, A3, Bets!M301:M602, "L")</f>
        <v>0</v>
      </c>
      <c r="E3" s="38">
        <f>SUMIF(Bets!C301:C602, A3, Bets!O301:O602)</f>
        <v>5.3</v>
      </c>
      <c r="F3" s="9">
        <f t="shared" si="1"/>
        <v>0.6666666667</v>
      </c>
      <c r="G3" s="9">
        <f t="shared" si="2"/>
        <v>0</v>
      </c>
      <c r="H3" s="11">
        <f t="shared" si="3"/>
        <v>6</v>
      </c>
      <c r="I3" s="11">
        <f t="shared" si="4"/>
        <v>3</v>
      </c>
      <c r="J3" s="11">
        <f t="shared" si="5"/>
        <v>1</v>
      </c>
      <c r="K3" s="39">
        <f t="shared" si="6"/>
        <v>0.5</v>
      </c>
      <c r="L3" s="40">
        <f t="shared" si="7"/>
        <v>0.1666666667</v>
      </c>
      <c r="M3" s="23">
        <f t="shared" si="8"/>
        <v>0.8</v>
      </c>
    </row>
    <row r="4">
      <c r="A4" s="7">
        <v>3.0</v>
      </c>
      <c r="B4" s="11">
        <f>COUNTIF(Bets!C302:C603, A4)</f>
        <v>3</v>
      </c>
      <c r="C4" s="11">
        <f>COUNTIFS(Bets!C302:C603, A4, Bets!M302:M603, "W")</f>
        <v>1</v>
      </c>
      <c r="D4" s="11">
        <f>COUNTIFS(Bets!C302:C603, A4, Bets!M302:M603, "L")</f>
        <v>2</v>
      </c>
      <c r="E4" s="38">
        <f>SUMIF(Bets!C302:C603, A4, Bets!O302:O603)</f>
        <v>-8.65</v>
      </c>
      <c r="F4" s="9">
        <f t="shared" si="1"/>
        <v>0.3333333333</v>
      </c>
      <c r="G4" s="9">
        <f t="shared" si="2"/>
        <v>0.6666666667</v>
      </c>
      <c r="H4" s="11">
        <f t="shared" si="3"/>
        <v>9</v>
      </c>
      <c r="I4" s="11">
        <f t="shared" si="4"/>
        <v>4</v>
      </c>
      <c r="J4" s="11">
        <f t="shared" si="5"/>
        <v>3</v>
      </c>
      <c r="K4" s="39">
        <f t="shared" si="6"/>
        <v>0.4444444444</v>
      </c>
      <c r="L4" s="40">
        <f t="shared" si="7"/>
        <v>0.3333333333</v>
      </c>
      <c r="M4" s="23">
        <f t="shared" si="8"/>
        <v>-7.85</v>
      </c>
    </row>
    <row r="5">
      <c r="A5" s="7">
        <v>4.0</v>
      </c>
      <c r="B5" s="11">
        <f>COUNTIF(Bets!C303:C604, A5)</f>
        <v>3</v>
      </c>
      <c r="C5" s="11">
        <f>COUNTIFS(Bets!C303:C604, A5, Bets!M303:M604, "W")</f>
        <v>2</v>
      </c>
      <c r="D5" s="11">
        <f>COUNTIFS(Bets!C303:C604, A5, Bets!M303:M604, "L")</f>
        <v>1</v>
      </c>
      <c r="E5" s="38">
        <f>SUMIF(Bets!C303:C604, A5, Bets!O303:O604)</f>
        <v>-1</v>
      </c>
      <c r="F5" s="9">
        <f t="shared" si="1"/>
        <v>0.6666666667</v>
      </c>
      <c r="G5" s="9">
        <f t="shared" si="2"/>
        <v>0.3333333333</v>
      </c>
      <c r="H5" s="11">
        <f t="shared" si="3"/>
        <v>12</v>
      </c>
      <c r="I5" s="11">
        <f t="shared" si="4"/>
        <v>6</v>
      </c>
      <c r="J5" s="11">
        <f t="shared" si="5"/>
        <v>4</v>
      </c>
      <c r="K5" s="39">
        <f t="shared" si="6"/>
        <v>0.5</v>
      </c>
      <c r="L5" s="40">
        <f t="shared" si="7"/>
        <v>0.3333333333</v>
      </c>
      <c r="M5" s="23">
        <f t="shared" si="8"/>
        <v>-8.85</v>
      </c>
    </row>
    <row r="6">
      <c r="A6" s="7">
        <v>5.0</v>
      </c>
      <c r="B6" s="11">
        <f>COUNTIF(Bets!C304:C605, A6)</f>
        <v>3</v>
      </c>
      <c r="C6" s="11">
        <f>COUNTIFS(Bets!C304:C605, A6, Bets!M304:M605, "W")</f>
        <v>3</v>
      </c>
      <c r="D6" s="11">
        <f>COUNTIFS(Bets!C304:C605, A6, Bets!M304:M605, "L")</f>
        <v>0</v>
      </c>
      <c r="E6" s="38">
        <f>SUMIF(Bets!C304:C605, A6, Bets!O304:O605)</f>
        <v>9.1</v>
      </c>
      <c r="F6" s="9">
        <f t="shared" si="1"/>
        <v>1</v>
      </c>
      <c r="G6" s="9">
        <f t="shared" si="2"/>
        <v>0</v>
      </c>
      <c r="H6" s="11">
        <f t="shared" si="3"/>
        <v>15</v>
      </c>
      <c r="I6" s="11">
        <f t="shared" si="4"/>
        <v>9</v>
      </c>
      <c r="J6" s="11">
        <f t="shared" si="5"/>
        <v>4</v>
      </c>
      <c r="K6" s="39">
        <f t="shared" si="6"/>
        <v>0.6</v>
      </c>
      <c r="L6" s="40">
        <f t="shared" si="7"/>
        <v>0.2666666667</v>
      </c>
      <c r="M6" s="23">
        <f t="shared" si="8"/>
        <v>0.25</v>
      </c>
    </row>
    <row r="7">
      <c r="A7" s="7">
        <v>6.0</v>
      </c>
      <c r="B7" s="11">
        <f>COUNTIF(Bets!C305:C606, A7)</f>
        <v>3</v>
      </c>
      <c r="C7" s="11">
        <f>COUNTIFS(Bets!C305:C606, A7, Bets!M305:M606, "W")</f>
        <v>1</v>
      </c>
      <c r="D7" s="11">
        <f>COUNTIFS(Bets!C305:C606, A7, Bets!M305:M606, "L")</f>
        <v>2</v>
      </c>
      <c r="E7" s="38">
        <f>SUMIF(Bets!C305:C606, A7, Bets!O305:O606)</f>
        <v>-7.25</v>
      </c>
      <c r="F7" s="9">
        <f t="shared" si="1"/>
        <v>0.3333333333</v>
      </c>
      <c r="G7" s="9">
        <f t="shared" si="2"/>
        <v>0.6666666667</v>
      </c>
      <c r="H7" s="11">
        <f t="shared" si="3"/>
        <v>18</v>
      </c>
      <c r="I7" s="11">
        <f t="shared" si="4"/>
        <v>10</v>
      </c>
      <c r="J7" s="11">
        <f t="shared" si="5"/>
        <v>6</v>
      </c>
      <c r="K7" s="39">
        <f t="shared" si="6"/>
        <v>0.5555555556</v>
      </c>
      <c r="L7" s="40">
        <f t="shared" si="7"/>
        <v>0.3333333333</v>
      </c>
      <c r="M7" s="23">
        <f t="shared" si="8"/>
        <v>-7</v>
      </c>
    </row>
    <row r="8">
      <c r="A8" s="7">
        <v>7.0</v>
      </c>
      <c r="B8" s="11">
        <f>COUNTIF(Bets!C306:C607, A8)</f>
        <v>3</v>
      </c>
      <c r="C8" s="11">
        <f>COUNTIFS(Bets!C306:C607, A8, Bets!M306:M607, "W")</f>
        <v>2</v>
      </c>
      <c r="D8" s="11">
        <f>COUNTIFS(Bets!C306:C607, A8, Bets!M306:M607, "L")</f>
        <v>1</v>
      </c>
      <c r="E8" s="38">
        <f>SUMIF(Bets!C306:C607, A8, Bets!O306:O607)</f>
        <v>1</v>
      </c>
      <c r="F8" s="9">
        <f t="shared" si="1"/>
        <v>0.6666666667</v>
      </c>
      <c r="G8" s="9">
        <f t="shared" si="2"/>
        <v>0.3333333333</v>
      </c>
      <c r="H8" s="11">
        <f t="shared" si="3"/>
        <v>21</v>
      </c>
      <c r="I8" s="11">
        <f t="shared" si="4"/>
        <v>12</v>
      </c>
      <c r="J8" s="11">
        <f t="shared" si="5"/>
        <v>7</v>
      </c>
      <c r="K8" s="39">
        <f t="shared" si="6"/>
        <v>0.5714285714</v>
      </c>
      <c r="L8" s="40">
        <f t="shared" si="7"/>
        <v>0.3333333333</v>
      </c>
      <c r="M8" s="23">
        <f t="shared" si="8"/>
        <v>-6</v>
      </c>
    </row>
    <row r="9">
      <c r="A9" s="7">
        <v>8.0</v>
      </c>
      <c r="B9" s="11">
        <f>COUNTIF(Bets!C307:C608, A9)</f>
        <v>3</v>
      </c>
      <c r="C9" s="11">
        <f>COUNTIFS(Bets!C307:C608, A9, Bets!M307:M608, "W")</f>
        <v>2</v>
      </c>
      <c r="D9" s="11">
        <f>COUNTIFS(Bets!C307:C608, A9, Bets!M307:M608, "L")</f>
        <v>1</v>
      </c>
      <c r="E9" s="38">
        <f>SUMIF(Bets!C307:C608, A9, Bets!O307:O608)</f>
        <v>-1</v>
      </c>
      <c r="F9" s="9">
        <f t="shared" si="1"/>
        <v>0.6666666667</v>
      </c>
      <c r="G9" s="9">
        <f t="shared" si="2"/>
        <v>0.3333333333</v>
      </c>
      <c r="H9" s="11">
        <f t="shared" si="3"/>
        <v>24</v>
      </c>
      <c r="I9" s="11">
        <f t="shared" si="4"/>
        <v>14</v>
      </c>
      <c r="J9" s="11">
        <f t="shared" si="5"/>
        <v>8</v>
      </c>
      <c r="K9" s="39">
        <f t="shared" si="6"/>
        <v>0.5833333333</v>
      </c>
      <c r="L9" s="40">
        <f t="shared" si="7"/>
        <v>0.3333333333</v>
      </c>
      <c r="M9" s="23">
        <f t="shared" si="8"/>
        <v>-7</v>
      </c>
    </row>
    <row r="10">
      <c r="A10" s="7">
        <v>9.0</v>
      </c>
      <c r="B10" s="11">
        <f>COUNTIF(Bets!C308:C609, A10)</f>
        <v>3</v>
      </c>
      <c r="C10" s="11">
        <f>COUNTIFS(Bets!C308:C609, A10, Bets!M308:M609, "W")</f>
        <v>3</v>
      </c>
      <c r="D10" s="11">
        <f>COUNTIFS(Bets!C308:C609, A10, Bets!M308:M609, "L")</f>
        <v>0</v>
      </c>
      <c r="E10" s="38">
        <f>SUMIF(Bets!C308:C609, A10, Bets!O308:O609)</f>
        <v>8.4</v>
      </c>
      <c r="F10" s="9">
        <f t="shared" si="1"/>
        <v>1</v>
      </c>
      <c r="G10" s="9">
        <f t="shared" si="2"/>
        <v>0</v>
      </c>
      <c r="H10" s="11">
        <f t="shared" si="3"/>
        <v>27</v>
      </c>
      <c r="I10" s="11">
        <f t="shared" si="4"/>
        <v>17</v>
      </c>
      <c r="J10" s="11">
        <f t="shared" si="5"/>
        <v>8</v>
      </c>
      <c r="K10" s="39">
        <f t="shared" si="6"/>
        <v>0.6296296296</v>
      </c>
      <c r="L10" s="40">
        <f t="shared" si="7"/>
        <v>0.2962962963</v>
      </c>
      <c r="M10" s="23">
        <f t="shared" si="8"/>
        <v>1.4</v>
      </c>
    </row>
    <row r="11">
      <c r="A11" s="7">
        <v>10.0</v>
      </c>
      <c r="B11" s="11">
        <f>COUNTIF(Bets!C309:C610, A11)</f>
        <v>3</v>
      </c>
      <c r="C11" s="11">
        <f>COUNTIFS(Bets!C309:C610, A11, Bets!M309:M610, "W")</f>
        <v>2</v>
      </c>
      <c r="D11" s="11">
        <f>COUNTIFS(Bets!C309:C610, A11, Bets!M309:M610, "L")</f>
        <v>0</v>
      </c>
      <c r="E11" s="38">
        <f>SUMIF(Bets!C309:C610, A11, Bets!O309:O610)</f>
        <v>6.5</v>
      </c>
      <c r="F11" s="9">
        <f t="shared" si="1"/>
        <v>0.6666666667</v>
      </c>
      <c r="G11" s="9">
        <f t="shared" si="2"/>
        <v>0</v>
      </c>
      <c r="H11" s="11">
        <f t="shared" si="3"/>
        <v>30</v>
      </c>
      <c r="I11" s="11">
        <f t="shared" si="4"/>
        <v>19</v>
      </c>
      <c r="J11" s="11">
        <f t="shared" si="5"/>
        <v>8</v>
      </c>
      <c r="K11" s="39">
        <f t="shared" si="6"/>
        <v>0.6333333333</v>
      </c>
      <c r="L11" s="40">
        <f t="shared" si="7"/>
        <v>0.2666666667</v>
      </c>
      <c r="M11" s="23">
        <f t="shared" si="8"/>
        <v>7.9</v>
      </c>
    </row>
    <row r="12">
      <c r="A12" s="7">
        <v>11.0</v>
      </c>
      <c r="B12" s="11">
        <f>COUNTIF(Bets!C310:C611, A12)</f>
        <v>3</v>
      </c>
      <c r="C12" s="11">
        <f>COUNTIFS(Bets!C310:C611, A12, Bets!M310:M611, "W")</f>
        <v>1</v>
      </c>
      <c r="D12" s="11">
        <f>COUNTIFS(Bets!C310:C611, A12, Bets!M310:M611, "L")</f>
        <v>1</v>
      </c>
      <c r="E12" s="38">
        <f>SUMIF(Bets!C310:C611, A12, Bets!O310:O611)</f>
        <v>-3.2</v>
      </c>
      <c r="F12" s="9">
        <f t="shared" si="1"/>
        <v>0.3333333333</v>
      </c>
      <c r="G12" s="9">
        <f t="shared" si="2"/>
        <v>0.3333333333</v>
      </c>
      <c r="H12" s="11">
        <f t="shared" si="3"/>
        <v>33</v>
      </c>
      <c r="I12" s="11">
        <f t="shared" si="4"/>
        <v>20</v>
      </c>
      <c r="J12" s="11">
        <f t="shared" si="5"/>
        <v>9</v>
      </c>
      <c r="K12" s="39">
        <f t="shared" si="6"/>
        <v>0.6060606061</v>
      </c>
      <c r="L12" s="40">
        <f t="shared" si="7"/>
        <v>0.2727272727</v>
      </c>
      <c r="M12" s="23">
        <f t="shared" si="8"/>
        <v>4.7</v>
      </c>
    </row>
    <row r="13">
      <c r="A13" s="7">
        <v>12.0</v>
      </c>
      <c r="B13" s="11">
        <f>COUNTIF(Bets!C311:C612, A13)</f>
        <v>4</v>
      </c>
      <c r="C13" s="11">
        <f>COUNTIFS(Bets!C311:C612, A13, Bets!M311:M612, "W")</f>
        <v>2</v>
      </c>
      <c r="D13" s="11">
        <f>COUNTIFS(Bets!C311:C612, A13, Bets!M311:M612, "L")</f>
        <v>2</v>
      </c>
      <c r="E13" s="38">
        <f>SUMIF(Bets!C311:C612, A13, Bets!O311:O612)</f>
        <v>-0.7</v>
      </c>
      <c r="F13" s="9">
        <f t="shared" si="1"/>
        <v>0.5</v>
      </c>
      <c r="G13" s="9">
        <f t="shared" si="2"/>
        <v>0.5</v>
      </c>
      <c r="H13" s="11">
        <f t="shared" si="3"/>
        <v>37</v>
      </c>
      <c r="I13" s="11">
        <f t="shared" si="4"/>
        <v>22</v>
      </c>
      <c r="J13" s="11">
        <f t="shared" si="5"/>
        <v>11</v>
      </c>
      <c r="K13" s="39">
        <f t="shared" si="6"/>
        <v>0.5945945946</v>
      </c>
      <c r="L13" s="40">
        <f t="shared" si="7"/>
        <v>0.2972972973</v>
      </c>
      <c r="M13" s="23">
        <f t="shared" si="8"/>
        <v>4</v>
      </c>
    </row>
    <row r="14">
      <c r="A14" s="7">
        <v>13.0</v>
      </c>
      <c r="B14" s="11">
        <f>COUNTIF(Bets!C312:C613, A14)</f>
        <v>4</v>
      </c>
      <c r="C14" s="11">
        <f>COUNTIFS(Bets!C312:C613, A14, Bets!M312:M613, "W")</f>
        <v>2</v>
      </c>
      <c r="D14" s="11">
        <f>COUNTIFS(Bets!C312:C613, A14, Bets!M312:M613, "L")</f>
        <v>2</v>
      </c>
      <c r="E14" s="38">
        <f>SUMIF(Bets!C312:C613, A14, Bets!O312:O613)</f>
        <v>3.6</v>
      </c>
      <c r="F14" s="9">
        <f t="shared" si="1"/>
        <v>0.5</v>
      </c>
      <c r="G14" s="9">
        <f t="shared" si="2"/>
        <v>0.5</v>
      </c>
      <c r="H14" s="11">
        <f t="shared" si="3"/>
        <v>41</v>
      </c>
      <c r="I14" s="11">
        <f t="shared" si="4"/>
        <v>24</v>
      </c>
      <c r="J14" s="11">
        <f t="shared" si="5"/>
        <v>13</v>
      </c>
      <c r="K14" s="39">
        <f t="shared" si="6"/>
        <v>0.5853658537</v>
      </c>
      <c r="L14" s="40">
        <f t="shared" si="7"/>
        <v>0.3170731707</v>
      </c>
      <c r="M14" s="23">
        <f t="shared" si="8"/>
        <v>7.6</v>
      </c>
    </row>
    <row r="15">
      <c r="A15" s="7">
        <v>14.0</v>
      </c>
      <c r="B15" s="11">
        <f>COUNTIF(Bets!C313:C614, A15)</f>
        <v>0</v>
      </c>
      <c r="C15" s="11">
        <f>COUNTIFS(Bets!C313:C614, A15, Bets!M313:M614, "W")</f>
        <v>0</v>
      </c>
      <c r="D15" s="11">
        <f>COUNTIFS(Bets!C313:C614, A15, Bets!M313:M614, "L")</f>
        <v>0</v>
      </c>
      <c r="E15" s="38">
        <f>SUMIF(Bets!C313:C614, A15, Bets!O313:O614)</f>
        <v>0</v>
      </c>
      <c r="F15" s="9">
        <f t="shared" si="1"/>
        <v>0</v>
      </c>
      <c r="G15" s="9">
        <f t="shared" si="2"/>
        <v>0</v>
      </c>
      <c r="H15" s="11">
        <f t="shared" si="3"/>
        <v>41</v>
      </c>
      <c r="I15" s="11">
        <f t="shared" si="4"/>
        <v>24</v>
      </c>
      <c r="J15" s="11">
        <f t="shared" si="5"/>
        <v>13</v>
      </c>
      <c r="K15" s="39">
        <f t="shared" si="6"/>
        <v>0.5853658537</v>
      </c>
      <c r="L15" s="40">
        <f t="shared" si="7"/>
        <v>0.3170731707</v>
      </c>
      <c r="M15" s="23">
        <f t="shared" si="8"/>
        <v>7.6</v>
      </c>
    </row>
    <row r="16">
      <c r="A16" s="7">
        <v>15.0</v>
      </c>
      <c r="B16" s="11">
        <f>COUNTIF(Bets!C314:C615, A16)</f>
        <v>4</v>
      </c>
      <c r="C16" s="11">
        <f>COUNTIFS(Bets!C314:C615, A16, Bets!M314:M615, "W")</f>
        <v>2</v>
      </c>
      <c r="D16" s="11">
        <f>COUNTIFS(Bets!C314:C615, A16, Bets!M314:M615, "L")</f>
        <v>2</v>
      </c>
      <c r="E16" s="38">
        <f>SUMIF(Bets!C314:C615, A16, Bets!O314:O615)</f>
        <v>1.9</v>
      </c>
      <c r="F16" s="9">
        <f t="shared" si="1"/>
        <v>0.5</v>
      </c>
      <c r="G16" s="9">
        <f t="shared" si="2"/>
        <v>0.5</v>
      </c>
      <c r="H16" s="11">
        <f t="shared" si="3"/>
        <v>45</v>
      </c>
      <c r="I16" s="11">
        <f t="shared" si="4"/>
        <v>26</v>
      </c>
      <c r="J16" s="11">
        <f t="shared" si="5"/>
        <v>15</v>
      </c>
      <c r="K16" s="39">
        <f t="shared" si="6"/>
        <v>0.5777777778</v>
      </c>
      <c r="L16" s="40">
        <f t="shared" si="7"/>
        <v>0.3333333333</v>
      </c>
      <c r="M16" s="23">
        <f t="shared" si="8"/>
        <v>9.5</v>
      </c>
    </row>
    <row r="17">
      <c r="A17" s="7">
        <v>16.0</v>
      </c>
      <c r="B17" s="11">
        <f>COUNTIF(Bets!C315:C616, A17)</f>
        <v>4</v>
      </c>
      <c r="C17" s="11">
        <f>COUNTIFS(Bets!C315:C616, A17, Bets!M315:M616, "W")</f>
        <v>2</v>
      </c>
      <c r="D17" s="11">
        <f>COUNTIFS(Bets!C315:C616, A17, Bets!M315:M616, "L")</f>
        <v>2</v>
      </c>
      <c r="E17" s="38">
        <f>SUMIF(Bets!C315:C616, A17, Bets!O315:O616)</f>
        <v>-0.05</v>
      </c>
      <c r="F17" s="9">
        <f t="shared" si="1"/>
        <v>0.5</v>
      </c>
      <c r="G17" s="9">
        <f t="shared" si="2"/>
        <v>0.5</v>
      </c>
      <c r="H17" s="11">
        <f t="shared" si="3"/>
        <v>49</v>
      </c>
      <c r="I17" s="11">
        <f t="shared" si="4"/>
        <v>28</v>
      </c>
      <c r="J17" s="11">
        <f t="shared" si="5"/>
        <v>17</v>
      </c>
      <c r="K17" s="39">
        <f t="shared" si="6"/>
        <v>0.5714285714</v>
      </c>
      <c r="L17" s="40">
        <f t="shared" si="7"/>
        <v>0.3469387755</v>
      </c>
      <c r="M17" s="23">
        <f t="shared" si="8"/>
        <v>9.45</v>
      </c>
    </row>
    <row r="18">
      <c r="A18" s="7">
        <v>17.0</v>
      </c>
      <c r="B18" s="11">
        <f>COUNTIF(Bets!C316:C617, A18)</f>
        <v>3</v>
      </c>
      <c r="C18" s="11">
        <f>COUNTIFS(Bets!C316:C617, A18, Bets!M316:M617, "W")</f>
        <v>0</v>
      </c>
      <c r="D18" s="11">
        <f>COUNTIFS(Bets!C316:C617, A18, Bets!M316:M617, "L")</f>
        <v>3</v>
      </c>
      <c r="E18" s="38">
        <f>SUMIF(Bets!C316:C617, A18, Bets!O316:O617)</f>
        <v>-15</v>
      </c>
      <c r="F18" s="9">
        <f t="shared" si="1"/>
        <v>0</v>
      </c>
      <c r="G18" s="9">
        <f t="shared" si="2"/>
        <v>1</v>
      </c>
      <c r="H18" s="11">
        <f t="shared" si="3"/>
        <v>52</v>
      </c>
      <c r="I18" s="11">
        <f t="shared" si="4"/>
        <v>28</v>
      </c>
      <c r="J18" s="11">
        <f t="shared" si="5"/>
        <v>20</v>
      </c>
      <c r="K18" s="39">
        <f t="shared" si="6"/>
        <v>0.5384615385</v>
      </c>
      <c r="L18" s="40">
        <f t="shared" si="7"/>
        <v>0.3846153846</v>
      </c>
      <c r="M18" s="23">
        <f t="shared" si="8"/>
        <v>-5.55</v>
      </c>
    </row>
    <row r="19">
      <c r="A19" s="7">
        <v>18.0</v>
      </c>
      <c r="B19" s="11">
        <f>COUNTIF(Bets!C317:C618, A19)</f>
        <v>3</v>
      </c>
      <c r="C19" s="11">
        <f>COUNTIFS(Bets!C317:C618, A19, Bets!M317:M618, "W")</f>
        <v>2</v>
      </c>
      <c r="D19" s="11">
        <f>COUNTIFS(Bets!C317:C618, A19, Bets!M317:M618, "L")</f>
        <v>1</v>
      </c>
      <c r="E19" s="38">
        <f>SUMIF(Bets!C317:C618, A19, Bets!O317:O618)</f>
        <v>-1</v>
      </c>
      <c r="F19" s="9">
        <f t="shared" si="1"/>
        <v>0.6666666667</v>
      </c>
      <c r="G19" s="9">
        <f t="shared" si="2"/>
        <v>0.3333333333</v>
      </c>
      <c r="H19" s="11">
        <f t="shared" si="3"/>
        <v>55</v>
      </c>
      <c r="I19" s="11">
        <f t="shared" si="4"/>
        <v>30</v>
      </c>
      <c r="J19" s="11">
        <f t="shared" si="5"/>
        <v>21</v>
      </c>
      <c r="K19" s="39">
        <f t="shared" si="6"/>
        <v>0.5454545455</v>
      </c>
      <c r="L19" s="40">
        <f t="shared" si="7"/>
        <v>0.3818181818</v>
      </c>
      <c r="M19" s="23">
        <f t="shared" si="8"/>
        <v>-6.55</v>
      </c>
    </row>
    <row r="20">
      <c r="A20" s="7">
        <v>19.0</v>
      </c>
      <c r="B20" s="11">
        <f>COUNTIF(Bets!C318:C619, A20)</f>
        <v>4</v>
      </c>
      <c r="C20" s="11">
        <f>COUNTIFS(Bets!C318:C619, A20, Bets!M318:M619, "W")</f>
        <v>1</v>
      </c>
      <c r="D20" s="11">
        <f>COUNTIFS(Bets!C318:C619, A20, Bets!M318:M619, "L")</f>
        <v>2</v>
      </c>
      <c r="E20" s="38">
        <f>SUMIF(Bets!C318:C619, A20, Bets!O318:O619)</f>
        <v>-0.25</v>
      </c>
      <c r="F20" s="9">
        <f t="shared" si="1"/>
        <v>0.25</v>
      </c>
      <c r="G20" s="9">
        <f t="shared" si="2"/>
        <v>0.5</v>
      </c>
      <c r="H20" s="11">
        <f t="shared" si="3"/>
        <v>59</v>
      </c>
      <c r="I20" s="11">
        <f t="shared" si="4"/>
        <v>31</v>
      </c>
      <c r="J20" s="11">
        <f t="shared" si="5"/>
        <v>23</v>
      </c>
      <c r="K20" s="39">
        <f t="shared" si="6"/>
        <v>0.5254237288</v>
      </c>
      <c r="L20" s="40">
        <f t="shared" si="7"/>
        <v>0.3898305085</v>
      </c>
      <c r="M20" s="23">
        <f t="shared" si="8"/>
        <v>-6.8</v>
      </c>
    </row>
    <row r="21">
      <c r="A21" s="7">
        <v>20.0</v>
      </c>
      <c r="B21" s="11">
        <f>COUNTIF(Bets!C319:C620, A21)</f>
        <v>4</v>
      </c>
      <c r="C21" s="11">
        <f>COUNTIFS(Bets!C319:C620, A21, Bets!M319:M620, "W")</f>
        <v>2</v>
      </c>
      <c r="D21" s="11">
        <f>COUNTIFS(Bets!C319:C620, A21, Bets!M319:M620, "L")</f>
        <v>2</v>
      </c>
      <c r="E21" s="38">
        <f>SUMIF(Bets!C319:C620, A21, Bets!O319:O620)</f>
        <v>1.9</v>
      </c>
      <c r="F21" s="9">
        <f t="shared" si="1"/>
        <v>0.5</v>
      </c>
      <c r="G21" s="9">
        <f t="shared" si="2"/>
        <v>0.5</v>
      </c>
      <c r="H21" s="11">
        <f t="shared" si="3"/>
        <v>63</v>
      </c>
      <c r="I21" s="11">
        <f t="shared" si="4"/>
        <v>33</v>
      </c>
      <c r="J21" s="11">
        <f t="shared" si="5"/>
        <v>25</v>
      </c>
      <c r="K21" s="39">
        <f t="shared" si="6"/>
        <v>0.5238095238</v>
      </c>
      <c r="L21" s="40">
        <f t="shared" si="7"/>
        <v>0.3968253968</v>
      </c>
      <c r="M21" s="23">
        <f t="shared" si="8"/>
        <v>-4.9</v>
      </c>
    </row>
    <row r="22">
      <c r="A22" s="7">
        <v>21.0</v>
      </c>
      <c r="B22" s="11">
        <f>COUNTIF(Bets!C320:C621, A22)</f>
        <v>4</v>
      </c>
      <c r="C22" s="11">
        <f>COUNTIFS(Bets!C320:C621, A22, Bets!M320:M621, "W")</f>
        <v>2</v>
      </c>
      <c r="D22" s="11">
        <f>COUNTIFS(Bets!C320:C621, A22, Bets!M320:M621, "L")</f>
        <v>0</v>
      </c>
      <c r="E22" s="38">
        <f>SUMIF(Bets!C320:C621, A22, Bets!O320:O621)</f>
        <v>4.05</v>
      </c>
      <c r="F22" s="9">
        <f t="shared" si="1"/>
        <v>0.5</v>
      </c>
      <c r="G22" s="9">
        <f t="shared" si="2"/>
        <v>0</v>
      </c>
      <c r="H22" s="11">
        <f t="shared" si="3"/>
        <v>67</v>
      </c>
      <c r="I22" s="11">
        <f t="shared" si="4"/>
        <v>35</v>
      </c>
      <c r="J22" s="11">
        <f t="shared" si="5"/>
        <v>25</v>
      </c>
      <c r="K22" s="39">
        <f t="shared" si="6"/>
        <v>0.5223880597</v>
      </c>
      <c r="L22" s="40">
        <f t="shared" si="7"/>
        <v>0.3731343284</v>
      </c>
      <c r="M22" s="23">
        <f t="shared" si="8"/>
        <v>-0.85</v>
      </c>
    </row>
    <row r="23">
      <c r="A23" s="7">
        <v>22.0</v>
      </c>
      <c r="B23" s="11">
        <f>COUNTIF(Bets!C321:C622, A23)</f>
        <v>4</v>
      </c>
      <c r="C23" s="11">
        <f>COUNTIFS(Bets!C321:C622, A23, Bets!M321:M622, "W")</f>
        <v>0</v>
      </c>
      <c r="D23" s="11">
        <f>COUNTIFS(Bets!C321:C622, A23, Bets!M321:M622, "L")</f>
        <v>4</v>
      </c>
      <c r="E23" s="38">
        <f>SUMIF(Bets!C321:C622, A23, Bets!O321:O622)</f>
        <v>-16</v>
      </c>
      <c r="F23" s="9">
        <f t="shared" si="1"/>
        <v>0</v>
      </c>
      <c r="G23" s="9">
        <f t="shared" si="2"/>
        <v>1</v>
      </c>
      <c r="H23" s="11">
        <f t="shared" si="3"/>
        <v>71</v>
      </c>
      <c r="I23" s="11">
        <f t="shared" si="4"/>
        <v>35</v>
      </c>
      <c r="J23" s="11">
        <f t="shared" si="5"/>
        <v>29</v>
      </c>
      <c r="K23" s="39">
        <f t="shared" si="6"/>
        <v>0.4929577465</v>
      </c>
      <c r="L23" s="40">
        <f t="shared" si="7"/>
        <v>0.4084507042</v>
      </c>
      <c r="M23" s="23">
        <f t="shared" si="8"/>
        <v>-16.85</v>
      </c>
    </row>
    <row r="24">
      <c r="A24" s="7">
        <v>23.0</v>
      </c>
      <c r="B24" s="11">
        <f>COUNTIF(Bets!C322:C623, A24)</f>
        <v>4</v>
      </c>
      <c r="C24" s="11">
        <f>COUNTIFS(Bets!C322:C623, A24, Bets!M322:M623, "W")</f>
        <v>2</v>
      </c>
      <c r="D24" s="11">
        <f>COUNTIFS(Bets!C322:C623, A24, Bets!M322:M623, "L")</f>
        <v>2</v>
      </c>
      <c r="E24" s="38">
        <f>SUMIF(Bets!C322:C623, A24, Bets!O322:O623)</f>
        <v>4.55</v>
      </c>
      <c r="F24" s="9">
        <f t="shared" si="1"/>
        <v>0.5</v>
      </c>
      <c r="G24" s="9">
        <f t="shared" si="2"/>
        <v>0.5</v>
      </c>
      <c r="H24" s="11">
        <f t="shared" si="3"/>
        <v>75</v>
      </c>
      <c r="I24" s="11">
        <f t="shared" si="4"/>
        <v>37</v>
      </c>
      <c r="J24" s="11">
        <f t="shared" si="5"/>
        <v>31</v>
      </c>
      <c r="K24" s="39">
        <f t="shared" si="6"/>
        <v>0.4933333333</v>
      </c>
      <c r="L24" s="40">
        <f t="shared" si="7"/>
        <v>0.4133333333</v>
      </c>
      <c r="M24" s="23">
        <f t="shared" si="8"/>
        <v>-12.3</v>
      </c>
    </row>
    <row r="25">
      <c r="A25" s="7">
        <v>24.0</v>
      </c>
      <c r="B25" s="11">
        <f>COUNTIF(Bets!C323:C624, A25)</f>
        <v>4</v>
      </c>
      <c r="C25" s="11">
        <f>COUNTIFS(Bets!C323:C624, A25, Bets!M323:M624, "W")</f>
        <v>2</v>
      </c>
      <c r="D25" s="11">
        <f>COUNTIFS(Bets!C323:C624, A25, Bets!M323:M624, "L")</f>
        <v>2</v>
      </c>
      <c r="E25" s="38">
        <f>SUMIF(Bets!C323:C624, A25, Bets!O323:O624)</f>
        <v>3.35</v>
      </c>
      <c r="F25" s="9">
        <f t="shared" si="1"/>
        <v>0.5</v>
      </c>
      <c r="G25" s="9">
        <f t="shared" si="2"/>
        <v>0.5</v>
      </c>
      <c r="H25" s="11">
        <f t="shared" si="3"/>
        <v>79</v>
      </c>
      <c r="I25" s="11">
        <f t="shared" si="4"/>
        <v>39</v>
      </c>
      <c r="J25" s="11">
        <f t="shared" si="5"/>
        <v>33</v>
      </c>
      <c r="K25" s="39">
        <f t="shared" si="6"/>
        <v>0.4936708861</v>
      </c>
      <c r="L25" s="40">
        <f t="shared" si="7"/>
        <v>0.417721519</v>
      </c>
      <c r="M25" s="23">
        <f t="shared" si="8"/>
        <v>-8.95</v>
      </c>
    </row>
    <row r="26">
      <c r="A26" s="7">
        <v>25.0</v>
      </c>
      <c r="B26" s="11">
        <f>COUNTIF(Bets!C324:C625, A26)</f>
        <v>4</v>
      </c>
      <c r="C26" s="11">
        <f>COUNTIFS(Bets!C324:C625, A26, Bets!M324:M625, "W")</f>
        <v>2</v>
      </c>
      <c r="D26" s="11">
        <f>COUNTIFS(Bets!C324:C625, A26, Bets!M324:M625, "L")</f>
        <v>2</v>
      </c>
      <c r="E26" s="38">
        <f>SUMIF(Bets!C324:C625, A26, Bets!O324:O625)</f>
        <v>-1.3</v>
      </c>
      <c r="F26" s="9">
        <f t="shared" si="1"/>
        <v>0.5</v>
      </c>
      <c r="G26" s="9">
        <f t="shared" si="2"/>
        <v>0.5</v>
      </c>
      <c r="H26" s="11">
        <f t="shared" si="3"/>
        <v>83</v>
      </c>
      <c r="I26" s="11">
        <f t="shared" si="4"/>
        <v>41</v>
      </c>
      <c r="J26" s="11">
        <f t="shared" si="5"/>
        <v>35</v>
      </c>
      <c r="K26" s="39">
        <f t="shared" si="6"/>
        <v>0.4939759036</v>
      </c>
      <c r="L26" s="40">
        <f t="shared" si="7"/>
        <v>0.421686747</v>
      </c>
      <c r="M26" s="23">
        <f t="shared" si="8"/>
        <v>-10.25</v>
      </c>
    </row>
    <row r="27">
      <c r="A27" s="7">
        <v>26.0</v>
      </c>
      <c r="B27" s="11">
        <f>COUNTIF(Bets!C325:C626, A27)</f>
        <v>4</v>
      </c>
      <c r="C27" s="11">
        <f>COUNTIFS(Bets!C325:C626, A27, Bets!M325:M626, "W")</f>
        <v>2</v>
      </c>
      <c r="D27" s="11">
        <f>COUNTIFS(Bets!C325:C626, A27, Bets!M325:M626, "L")</f>
        <v>2</v>
      </c>
      <c r="E27" s="38">
        <f>SUMIF(Bets!C325:C626, A27, Bets!O325:O626)</f>
        <v>-0.65</v>
      </c>
      <c r="F27" s="9">
        <f t="shared" si="1"/>
        <v>0.5</v>
      </c>
      <c r="G27" s="9">
        <f t="shared" si="2"/>
        <v>0.5</v>
      </c>
      <c r="H27" s="11">
        <f t="shared" si="3"/>
        <v>87</v>
      </c>
      <c r="I27" s="11">
        <f t="shared" si="4"/>
        <v>43</v>
      </c>
      <c r="J27" s="11">
        <f t="shared" si="5"/>
        <v>37</v>
      </c>
      <c r="K27" s="39">
        <f t="shared" si="6"/>
        <v>0.4942528736</v>
      </c>
      <c r="L27" s="40">
        <f t="shared" si="7"/>
        <v>0.4252873563</v>
      </c>
      <c r="M27" s="23">
        <f t="shared" si="8"/>
        <v>-10.9</v>
      </c>
    </row>
    <row r="28">
      <c r="E28" s="38"/>
      <c r="F28" s="9"/>
      <c r="G28" s="9"/>
      <c r="K28" s="39"/>
      <c r="L28" s="40"/>
    </row>
    <row r="29">
      <c r="E29" s="38"/>
      <c r="F29" s="9"/>
      <c r="G29" s="9"/>
      <c r="K29" s="39"/>
      <c r="L29" s="40"/>
    </row>
    <row r="30">
      <c r="E30" s="38"/>
      <c r="F30" s="9"/>
      <c r="G30" s="9"/>
      <c r="K30" s="39"/>
      <c r="L30" s="40"/>
    </row>
    <row r="31">
      <c r="E31" s="38"/>
      <c r="F31" s="9"/>
      <c r="G31" s="9"/>
      <c r="K31" s="39"/>
      <c r="L31" s="40"/>
    </row>
    <row r="32">
      <c r="E32" s="38"/>
      <c r="F32" s="9"/>
      <c r="G32" s="9"/>
      <c r="K32" s="39"/>
      <c r="L32" s="40"/>
    </row>
    <row r="33">
      <c r="E33" s="38"/>
      <c r="F33" s="9"/>
      <c r="G33" s="9"/>
      <c r="K33" s="39"/>
      <c r="L33" s="40"/>
    </row>
    <row r="34">
      <c r="E34" s="38"/>
      <c r="F34" s="9"/>
      <c r="G34" s="9"/>
      <c r="K34" s="39"/>
      <c r="L34" s="40"/>
    </row>
    <row r="35">
      <c r="E35" s="38"/>
      <c r="F35" s="9"/>
      <c r="G35" s="9"/>
      <c r="K35" s="39"/>
      <c r="L35" s="40"/>
    </row>
    <row r="36">
      <c r="E36" s="38"/>
      <c r="F36" s="9"/>
      <c r="G36" s="9"/>
      <c r="K36" s="39"/>
      <c r="L36" s="40"/>
    </row>
    <row r="37">
      <c r="E37" s="38"/>
      <c r="F37" s="9"/>
      <c r="G37" s="9"/>
      <c r="K37" s="39"/>
      <c r="L37" s="40"/>
    </row>
    <row r="38">
      <c r="E38" s="38"/>
      <c r="F38" s="9"/>
      <c r="G38" s="9"/>
      <c r="K38" s="39"/>
      <c r="L38" s="40"/>
    </row>
    <row r="39">
      <c r="E39" s="38"/>
      <c r="F39" s="9"/>
      <c r="G39" s="9"/>
      <c r="K39" s="39"/>
      <c r="L39" s="40"/>
    </row>
    <row r="40">
      <c r="E40" s="23"/>
      <c r="K40" s="39"/>
      <c r="L40" s="40"/>
    </row>
    <row r="41">
      <c r="E41" s="23"/>
      <c r="K41" s="39"/>
      <c r="L41" s="40"/>
    </row>
    <row r="42">
      <c r="E42" s="23"/>
      <c r="K42" s="39"/>
      <c r="L42" s="40"/>
    </row>
    <row r="43">
      <c r="E43" s="23"/>
      <c r="K43" s="39"/>
      <c r="L43" s="40"/>
    </row>
    <row r="44">
      <c r="E44" s="23"/>
      <c r="K44" s="39"/>
      <c r="L44" s="40"/>
    </row>
    <row r="45">
      <c r="E45" s="23"/>
      <c r="K45" s="39"/>
      <c r="L45" s="40"/>
    </row>
    <row r="46">
      <c r="E46" s="23"/>
      <c r="K46" s="39"/>
      <c r="L46" s="40"/>
    </row>
    <row r="47">
      <c r="E47" s="23"/>
      <c r="K47" s="39"/>
      <c r="L47" s="40"/>
    </row>
    <row r="48">
      <c r="E48" s="23"/>
      <c r="K48" s="39"/>
      <c r="L48" s="40"/>
    </row>
    <row r="49">
      <c r="E49" s="23"/>
      <c r="K49" s="39"/>
      <c r="L49" s="40"/>
    </row>
    <row r="50">
      <c r="E50" s="23"/>
      <c r="K50" s="39"/>
      <c r="L50" s="40"/>
    </row>
    <row r="51">
      <c r="E51" s="23"/>
      <c r="K51" s="39"/>
      <c r="L51" s="40"/>
    </row>
    <row r="52">
      <c r="E52" s="23"/>
      <c r="K52" s="39"/>
      <c r="L52" s="40"/>
    </row>
    <row r="53">
      <c r="E53" s="23"/>
      <c r="K53" s="39"/>
      <c r="L53" s="40"/>
    </row>
    <row r="54">
      <c r="E54" s="23"/>
      <c r="K54" s="39"/>
      <c r="L54" s="40"/>
    </row>
    <row r="55">
      <c r="E55" s="23"/>
      <c r="K55" s="39"/>
      <c r="L55" s="40"/>
    </row>
    <row r="56">
      <c r="E56" s="23"/>
      <c r="K56" s="39"/>
      <c r="L56" s="40"/>
    </row>
    <row r="57">
      <c r="E57" s="23"/>
      <c r="K57" s="39"/>
      <c r="L57" s="40"/>
    </row>
    <row r="58">
      <c r="E58" s="23"/>
      <c r="K58" s="39"/>
      <c r="L58" s="40"/>
    </row>
    <row r="59">
      <c r="E59" s="23"/>
      <c r="K59" s="39"/>
      <c r="L59" s="40"/>
    </row>
    <row r="60">
      <c r="E60" s="23"/>
      <c r="K60" s="39"/>
      <c r="L60" s="40"/>
    </row>
    <row r="61">
      <c r="E61" s="23"/>
      <c r="K61" s="39"/>
      <c r="L61" s="40"/>
    </row>
    <row r="62">
      <c r="E62" s="23"/>
      <c r="K62" s="39"/>
      <c r="L62" s="40"/>
    </row>
    <row r="63">
      <c r="E63" s="23"/>
      <c r="K63" s="39"/>
      <c r="L63" s="40"/>
    </row>
    <row r="64">
      <c r="E64" s="23"/>
      <c r="K64" s="39"/>
      <c r="L64" s="40"/>
    </row>
    <row r="65">
      <c r="E65" s="23"/>
      <c r="K65" s="39"/>
      <c r="L65" s="40"/>
    </row>
    <row r="66">
      <c r="E66" s="23"/>
      <c r="K66" s="39"/>
      <c r="L66" s="40"/>
    </row>
    <row r="67">
      <c r="E67" s="23"/>
      <c r="K67" s="39"/>
      <c r="L67" s="40"/>
    </row>
    <row r="68">
      <c r="E68" s="23"/>
      <c r="K68" s="39"/>
      <c r="L68" s="40"/>
    </row>
    <row r="69">
      <c r="E69" s="23"/>
      <c r="K69" s="39"/>
      <c r="L69" s="40"/>
    </row>
    <row r="70">
      <c r="E70" s="23"/>
      <c r="K70" s="39"/>
      <c r="L70" s="40"/>
    </row>
    <row r="71">
      <c r="E71" s="23"/>
      <c r="K71" s="39"/>
      <c r="L71" s="40"/>
    </row>
    <row r="72">
      <c r="E72" s="23"/>
      <c r="K72" s="39"/>
      <c r="L72" s="40"/>
    </row>
    <row r="73">
      <c r="E73" s="23"/>
      <c r="K73" s="39"/>
      <c r="L73" s="40"/>
    </row>
    <row r="74">
      <c r="E74" s="23"/>
      <c r="K74" s="39"/>
      <c r="L74" s="40"/>
    </row>
    <row r="75">
      <c r="E75" s="23"/>
      <c r="K75" s="39"/>
      <c r="L75" s="40"/>
    </row>
    <row r="76">
      <c r="E76" s="23"/>
      <c r="K76" s="39"/>
      <c r="L76" s="40"/>
    </row>
    <row r="77">
      <c r="E77" s="23"/>
      <c r="K77" s="39"/>
      <c r="L77" s="40"/>
    </row>
    <row r="78">
      <c r="E78" s="23"/>
      <c r="K78" s="39"/>
      <c r="L78" s="40"/>
    </row>
    <row r="79">
      <c r="E79" s="23"/>
      <c r="K79" s="39"/>
      <c r="L79" s="40"/>
    </row>
    <row r="80">
      <c r="E80" s="23"/>
      <c r="K80" s="39"/>
      <c r="L80" s="40"/>
    </row>
    <row r="81">
      <c r="E81" s="23"/>
      <c r="K81" s="39"/>
      <c r="L81" s="40"/>
    </row>
    <row r="82">
      <c r="E82" s="23"/>
      <c r="K82" s="39"/>
      <c r="L82" s="40"/>
    </row>
    <row r="83">
      <c r="E83" s="23"/>
      <c r="K83" s="39"/>
      <c r="L83" s="40"/>
    </row>
    <row r="84">
      <c r="E84" s="23"/>
      <c r="K84" s="39"/>
      <c r="L84" s="40"/>
    </row>
    <row r="85">
      <c r="E85" s="23"/>
      <c r="K85" s="39"/>
      <c r="L85" s="40"/>
    </row>
    <row r="86">
      <c r="E86" s="23"/>
      <c r="K86" s="39"/>
      <c r="L86" s="40"/>
    </row>
    <row r="87">
      <c r="E87" s="23"/>
      <c r="K87" s="39"/>
      <c r="L87" s="40"/>
    </row>
    <row r="88">
      <c r="E88" s="23"/>
      <c r="K88" s="39"/>
      <c r="L88" s="40"/>
    </row>
    <row r="89">
      <c r="E89" s="23"/>
      <c r="K89" s="39"/>
      <c r="L89" s="40"/>
    </row>
    <row r="90">
      <c r="E90" s="23"/>
      <c r="K90" s="39"/>
      <c r="L90" s="40"/>
    </row>
    <row r="91">
      <c r="E91" s="23"/>
      <c r="K91" s="39"/>
      <c r="L91" s="40"/>
    </row>
    <row r="92">
      <c r="E92" s="23"/>
      <c r="K92" s="39"/>
      <c r="L92" s="40"/>
    </row>
    <row r="93">
      <c r="E93" s="23"/>
      <c r="K93" s="39"/>
      <c r="L93" s="40"/>
    </row>
    <row r="94">
      <c r="E94" s="23"/>
      <c r="K94" s="39"/>
      <c r="L94" s="40"/>
    </row>
    <row r="95">
      <c r="E95" s="23"/>
      <c r="K95" s="39"/>
      <c r="L95" s="40"/>
    </row>
    <row r="96">
      <c r="E96" s="23"/>
      <c r="K96" s="39"/>
      <c r="L96" s="40"/>
    </row>
    <row r="97">
      <c r="E97" s="23"/>
      <c r="K97" s="39"/>
      <c r="L97" s="40"/>
    </row>
    <row r="98">
      <c r="E98" s="23"/>
      <c r="K98" s="39"/>
      <c r="L98" s="40"/>
    </row>
    <row r="99">
      <c r="E99" s="23"/>
      <c r="K99" s="39"/>
      <c r="L99" s="40"/>
    </row>
    <row r="100">
      <c r="E100" s="23"/>
      <c r="K100" s="39"/>
      <c r="L100" s="40"/>
    </row>
    <row r="101">
      <c r="E101" s="23"/>
      <c r="K101" s="39"/>
      <c r="L101" s="40"/>
    </row>
    <row r="102">
      <c r="E102" s="23"/>
      <c r="K102" s="39"/>
      <c r="L102" s="40"/>
    </row>
    <row r="103">
      <c r="E103" s="23"/>
      <c r="K103" s="39"/>
      <c r="L103" s="40"/>
    </row>
    <row r="104">
      <c r="E104" s="23"/>
      <c r="K104" s="39"/>
      <c r="L104" s="40"/>
    </row>
    <row r="105">
      <c r="E105" s="23"/>
      <c r="K105" s="39"/>
      <c r="L105" s="40"/>
    </row>
    <row r="106">
      <c r="E106" s="23"/>
      <c r="K106" s="39"/>
      <c r="L106" s="40"/>
    </row>
    <row r="107">
      <c r="E107" s="23"/>
      <c r="K107" s="39"/>
      <c r="L107" s="40"/>
    </row>
    <row r="108">
      <c r="E108" s="23"/>
      <c r="K108" s="39"/>
      <c r="L108" s="40"/>
    </row>
    <row r="109">
      <c r="E109" s="23"/>
      <c r="K109" s="39"/>
      <c r="L109" s="40"/>
    </row>
    <row r="110">
      <c r="E110" s="23"/>
      <c r="K110" s="39"/>
      <c r="L110" s="40"/>
    </row>
    <row r="111">
      <c r="E111" s="23"/>
      <c r="K111" s="39"/>
      <c r="L111" s="40"/>
    </row>
    <row r="112">
      <c r="E112" s="23"/>
      <c r="K112" s="39"/>
      <c r="L112" s="40"/>
    </row>
    <row r="113">
      <c r="E113" s="23"/>
      <c r="K113" s="39"/>
      <c r="L113" s="40"/>
    </row>
    <row r="114">
      <c r="E114" s="23"/>
      <c r="K114" s="39"/>
      <c r="L114" s="40"/>
    </row>
    <row r="115">
      <c r="E115" s="23"/>
      <c r="K115" s="39"/>
      <c r="L115" s="40"/>
    </row>
    <row r="116">
      <c r="E116" s="23"/>
      <c r="K116" s="39"/>
      <c r="L116" s="40"/>
    </row>
    <row r="117">
      <c r="E117" s="23"/>
      <c r="K117" s="39"/>
      <c r="L117" s="40"/>
    </row>
    <row r="118">
      <c r="E118" s="23"/>
      <c r="K118" s="39"/>
      <c r="L118" s="40"/>
    </row>
    <row r="119">
      <c r="E119" s="23"/>
      <c r="K119" s="39"/>
      <c r="L119" s="40"/>
    </row>
    <row r="120">
      <c r="E120" s="23"/>
      <c r="K120" s="39"/>
      <c r="L120" s="40"/>
    </row>
    <row r="121">
      <c r="E121" s="23"/>
      <c r="K121" s="39"/>
      <c r="L121" s="40"/>
    </row>
    <row r="122">
      <c r="E122" s="23"/>
      <c r="K122" s="39"/>
      <c r="L122" s="40"/>
    </row>
    <row r="123">
      <c r="E123" s="23"/>
      <c r="K123" s="39"/>
      <c r="L123" s="40"/>
    </row>
    <row r="124">
      <c r="E124" s="23"/>
      <c r="K124" s="39"/>
      <c r="L124" s="40"/>
    </row>
    <row r="125">
      <c r="E125" s="23"/>
      <c r="K125" s="39"/>
      <c r="L125" s="40"/>
    </row>
    <row r="126">
      <c r="E126" s="23"/>
      <c r="K126" s="39"/>
      <c r="L126" s="40"/>
    </row>
    <row r="127">
      <c r="E127" s="23"/>
      <c r="K127" s="39"/>
      <c r="L127" s="40"/>
    </row>
    <row r="128">
      <c r="E128" s="23"/>
      <c r="K128" s="39"/>
      <c r="L128" s="40"/>
    </row>
    <row r="129">
      <c r="E129" s="23"/>
      <c r="K129" s="39"/>
      <c r="L129" s="40"/>
    </row>
    <row r="130">
      <c r="E130" s="23"/>
      <c r="K130" s="39"/>
      <c r="L130" s="40"/>
    </row>
    <row r="131">
      <c r="E131" s="23"/>
      <c r="K131" s="39"/>
      <c r="L131" s="40"/>
    </row>
    <row r="132">
      <c r="E132" s="23"/>
      <c r="K132" s="39"/>
      <c r="L132" s="40"/>
    </row>
    <row r="133">
      <c r="E133" s="23"/>
      <c r="K133" s="39"/>
      <c r="L133" s="40"/>
    </row>
    <row r="134">
      <c r="E134" s="23"/>
      <c r="K134" s="39"/>
      <c r="L134" s="40"/>
    </row>
    <row r="135">
      <c r="E135" s="23"/>
      <c r="K135" s="39"/>
      <c r="L135" s="40"/>
    </row>
    <row r="136">
      <c r="E136" s="23"/>
      <c r="K136" s="39"/>
      <c r="L136" s="40"/>
    </row>
    <row r="137">
      <c r="E137" s="23"/>
      <c r="K137" s="39"/>
      <c r="L137" s="40"/>
    </row>
    <row r="138">
      <c r="E138" s="23"/>
      <c r="K138" s="39"/>
      <c r="L138" s="40"/>
    </row>
    <row r="139">
      <c r="E139" s="23"/>
      <c r="K139" s="39"/>
      <c r="L139" s="40"/>
    </row>
    <row r="140">
      <c r="E140" s="23"/>
      <c r="K140" s="39"/>
      <c r="L140" s="40"/>
    </row>
    <row r="141">
      <c r="E141" s="23"/>
      <c r="K141" s="39"/>
      <c r="L141" s="40"/>
    </row>
    <row r="142">
      <c r="E142" s="23"/>
      <c r="K142" s="39"/>
      <c r="L142" s="40"/>
    </row>
    <row r="143">
      <c r="E143" s="23"/>
      <c r="K143" s="39"/>
      <c r="L143" s="40"/>
    </row>
    <row r="144">
      <c r="E144" s="23"/>
      <c r="K144" s="39"/>
      <c r="L144" s="40"/>
    </row>
    <row r="145">
      <c r="E145" s="23"/>
      <c r="K145" s="39"/>
      <c r="L145" s="40"/>
    </row>
    <row r="146">
      <c r="E146" s="23"/>
      <c r="K146" s="39"/>
      <c r="L146" s="40"/>
    </row>
    <row r="147">
      <c r="E147" s="23"/>
      <c r="K147" s="39"/>
      <c r="L147" s="40"/>
    </row>
    <row r="148">
      <c r="E148" s="23"/>
      <c r="K148" s="39"/>
      <c r="L148" s="40"/>
    </row>
    <row r="149">
      <c r="E149" s="23"/>
      <c r="K149" s="39"/>
      <c r="L149" s="40"/>
    </row>
    <row r="150">
      <c r="E150" s="23"/>
      <c r="K150" s="39"/>
      <c r="L150" s="40"/>
    </row>
    <row r="151">
      <c r="E151" s="23"/>
      <c r="K151" s="39"/>
      <c r="L151" s="40"/>
    </row>
    <row r="152">
      <c r="E152" s="23"/>
      <c r="K152" s="39"/>
      <c r="L152" s="40"/>
    </row>
    <row r="153">
      <c r="E153" s="23"/>
      <c r="K153" s="39"/>
      <c r="L153" s="40"/>
    </row>
    <row r="154">
      <c r="E154" s="23"/>
      <c r="K154" s="39"/>
      <c r="L154" s="40"/>
    </row>
    <row r="155">
      <c r="E155" s="23"/>
      <c r="K155" s="39"/>
      <c r="L155" s="40"/>
    </row>
    <row r="156">
      <c r="E156" s="23"/>
      <c r="K156" s="39"/>
      <c r="L156" s="40"/>
    </row>
    <row r="157">
      <c r="E157" s="23"/>
      <c r="K157" s="39"/>
      <c r="L157" s="40"/>
    </row>
    <row r="158">
      <c r="E158" s="23"/>
      <c r="K158" s="39"/>
      <c r="L158" s="40"/>
    </row>
    <row r="159">
      <c r="E159" s="23"/>
      <c r="K159" s="39"/>
      <c r="L159" s="40"/>
    </row>
    <row r="160">
      <c r="E160" s="23"/>
      <c r="K160" s="39"/>
      <c r="L160" s="40"/>
    </row>
    <row r="161">
      <c r="E161" s="23"/>
      <c r="K161" s="39"/>
      <c r="L161" s="40"/>
    </row>
    <row r="162">
      <c r="E162" s="23"/>
      <c r="K162" s="39"/>
      <c r="L162" s="40"/>
    </row>
    <row r="163">
      <c r="E163" s="23"/>
      <c r="K163" s="39"/>
      <c r="L163" s="40"/>
    </row>
    <row r="164">
      <c r="E164" s="23"/>
      <c r="K164" s="39"/>
      <c r="L164" s="40"/>
    </row>
    <row r="165">
      <c r="E165" s="23"/>
      <c r="K165" s="39"/>
      <c r="L165" s="40"/>
    </row>
    <row r="166">
      <c r="E166" s="23"/>
      <c r="K166" s="39"/>
      <c r="L166" s="40"/>
    </row>
    <row r="167">
      <c r="E167" s="23"/>
      <c r="K167" s="39"/>
      <c r="L167" s="40"/>
    </row>
    <row r="168">
      <c r="E168" s="23"/>
      <c r="K168" s="39"/>
      <c r="L168" s="40"/>
    </row>
    <row r="169">
      <c r="E169" s="23"/>
      <c r="K169" s="39"/>
      <c r="L169" s="40"/>
    </row>
    <row r="170">
      <c r="E170" s="23"/>
      <c r="K170" s="39"/>
      <c r="L170" s="40"/>
    </row>
    <row r="171">
      <c r="E171" s="23"/>
      <c r="K171" s="39"/>
      <c r="L171" s="40"/>
    </row>
    <row r="172">
      <c r="E172" s="23"/>
      <c r="K172" s="39"/>
      <c r="L172" s="40"/>
    </row>
    <row r="173">
      <c r="E173" s="23"/>
      <c r="K173" s="39"/>
      <c r="L173" s="40"/>
    </row>
    <row r="174">
      <c r="E174" s="23"/>
      <c r="K174" s="39"/>
      <c r="L174" s="40"/>
    </row>
    <row r="175">
      <c r="E175" s="23"/>
      <c r="K175" s="39"/>
      <c r="L175" s="40"/>
    </row>
    <row r="176">
      <c r="E176" s="23"/>
      <c r="K176" s="39"/>
      <c r="L176" s="40"/>
    </row>
    <row r="177">
      <c r="E177" s="23"/>
      <c r="K177" s="39"/>
      <c r="L177" s="40"/>
    </row>
    <row r="178">
      <c r="E178" s="23"/>
      <c r="K178" s="39"/>
      <c r="L178" s="40"/>
    </row>
    <row r="179">
      <c r="E179" s="23"/>
      <c r="K179" s="39"/>
      <c r="L179" s="40"/>
    </row>
    <row r="180">
      <c r="E180" s="23"/>
      <c r="K180" s="39"/>
      <c r="L180" s="40"/>
    </row>
    <row r="181">
      <c r="E181" s="23"/>
      <c r="K181" s="39"/>
      <c r="L181" s="40"/>
    </row>
    <row r="182">
      <c r="E182" s="23"/>
      <c r="K182" s="39"/>
      <c r="L182" s="40"/>
    </row>
    <row r="183">
      <c r="E183" s="23"/>
      <c r="K183" s="39"/>
      <c r="L183" s="40"/>
    </row>
    <row r="184">
      <c r="E184" s="23"/>
      <c r="K184" s="39"/>
      <c r="L184" s="40"/>
    </row>
    <row r="185">
      <c r="E185" s="23"/>
      <c r="K185" s="39"/>
      <c r="L185" s="40"/>
    </row>
    <row r="186">
      <c r="E186" s="23"/>
      <c r="K186" s="39"/>
      <c r="L186" s="40"/>
    </row>
    <row r="187">
      <c r="E187" s="23"/>
      <c r="K187" s="39"/>
      <c r="L187" s="40"/>
    </row>
    <row r="188">
      <c r="E188" s="23"/>
      <c r="K188" s="39"/>
      <c r="L188" s="40"/>
    </row>
    <row r="189">
      <c r="E189" s="23"/>
      <c r="K189" s="39"/>
      <c r="L189" s="40"/>
    </row>
    <row r="190">
      <c r="E190" s="23"/>
      <c r="K190" s="39"/>
      <c r="L190" s="40"/>
    </row>
    <row r="191">
      <c r="E191" s="23"/>
      <c r="K191" s="39"/>
      <c r="L191" s="40"/>
    </row>
    <row r="192">
      <c r="E192" s="23"/>
      <c r="K192" s="39"/>
      <c r="L192" s="40"/>
    </row>
    <row r="193">
      <c r="E193" s="23"/>
      <c r="K193" s="39"/>
      <c r="L193" s="40"/>
    </row>
    <row r="194">
      <c r="E194" s="23"/>
      <c r="K194" s="39"/>
      <c r="L194" s="40"/>
    </row>
    <row r="195">
      <c r="E195" s="23"/>
      <c r="K195" s="39"/>
      <c r="L195" s="40"/>
    </row>
    <row r="196">
      <c r="E196" s="23"/>
      <c r="K196" s="39"/>
      <c r="L196" s="40"/>
    </row>
    <row r="197">
      <c r="E197" s="23"/>
      <c r="K197" s="39"/>
      <c r="L197" s="40"/>
    </row>
    <row r="198">
      <c r="E198" s="23"/>
      <c r="K198" s="39"/>
      <c r="L198" s="40"/>
    </row>
    <row r="199">
      <c r="E199" s="23"/>
      <c r="K199" s="39"/>
      <c r="L199" s="40"/>
    </row>
    <row r="200">
      <c r="E200" s="23"/>
      <c r="K200" s="39"/>
      <c r="L200" s="40"/>
    </row>
    <row r="201">
      <c r="E201" s="23"/>
      <c r="K201" s="39"/>
      <c r="L201" s="40"/>
    </row>
    <row r="202">
      <c r="E202" s="23"/>
      <c r="K202" s="39"/>
      <c r="L202" s="40"/>
    </row>
    <row r="203">
      <c r="E203" s="23"/>
      <c r="K203" s="39"/>
      <c r="L203" s="40"/>
    </row>
    <row r="204">
      <c r="E204" s="23"/>
      <c r="K204" s="39"/>
      <c r="L204" s="40"/>
    </row>
    <row r="205">
      <c r="E205" s="23"/>
      <c r="K205" s="39"/>
      <c r="L205" s="40"/>
    </row>
    <row r="206">
      <c r="E206" s="23"/>
      <c r="K206" s="39"/>
      <c r="L206" s="40"/>
    </row>
    <row r="207">
      <c r="E207" s="23"/>
      <c r="K207" s="39"/>
      <c r="L207" s="40"/>
    </row>
    <row r="208">
      <c r="E208" s="23"/>
      <c r="K208" s="39"/>
      <c r="L208" s="40"/>
    </row>
    <row r="209">
      <c r="E209" s="23"/>
      <c r="K209" s="39"/>
      <c r="L209" s="40"/>
    </row>
    <row r="210">
      <c r="E210" s="23"/>
      <c r="K210" s="39"/>
      <c r="L210" s="40"/>
    </row>
    <row r="211">
      <c r="E211" s="23"/>
      <c r="K211" s="39"/>
      <c r="L211" s="40"/>
    </row>
    <row r="212">
      <c r="E212" s="23"/>
      <c r="K212" s="39"/>
      <c r="L212" s="40"/>
    </row>
    <row r="213">
      <c r="E213" s="23"/>
      <c r="K213" s="39"/>
      <c r="L213" s="40"/>
    </row>
    <row r="214">
      <c r="E214" s="23"/>
      <c r="K214" s="39"/>
      <c r="L214" s="40"/>
    </row>
    <row r="215">
      <c r="E215" s="23"/>
      <c r="K215" s="39"/>
      <c r="L215" s="40"/>
    </row>
    <row r="216">
      <c r="E216" s="23"/>
      <c r="K216" s="39"/>
      <c r="L216" s="40"/>
    </row>
    <row r="217">
      <c r="E217" s="23"/>
      <c r="K217" s="39"/>
      <c r="L217" s="40"/>
    </row>
    <row r="218">
      <c r="E218" s="23"/>
      <c r="K218" s="39"/>
      <c r="L218" s="40"/>
    </row>
    <row r="219">
      <c r="E219" s="23"/>
      <c r="K219" s="39"/>
      <c r="L219" s="40"/>
    </row>
    <row r="220">
      <c r="E220" s="23"/>
      <c r="K220" s="39"/>
      <c r="L220" s="40"/>
    </row>
    <row r="221">
      <c r="E221" s="23"/>
      <c r="K221" s="39"/>
      <c r="L221" s="40"/>
    </row>
    <row r="222">
      <c r="E222" s="23"/>
      <c r="K222" s="39"/>
      <c r="L222" s="40"/>
    </row>
    <row r="223">
      <c r="E223" s="23"/>
      <c r="K223" s="39"/>
      <c r="L223" s="40"/>
    </row>
    <row r="224">
      <c r="E224" s="23"/>
      <c r="K224" s="39"/>
      <c r="L224" s="40"/>
    </row>
    <row r="225">
      <c r="E225" s="23"/>
      <c r="K225" s="39"/>
      <c r="L225" s="40"/>
    </row>
    <row r="226">
      <c r="E226" s="23"/>
      <c r="K226" s="39"/>
      <c r="L226" s="40"/>
    </row>
    <row r="227">
      <c r="E227" s="23"/>
      <c r="K227" s="39"/>
      <c r="L227" s="40"/>
    </row>
    <row r="228">
      <c r="E228" s="23"/>
      <c r="K228" s="39"/>
      <c r="L228" s="40"/>
    </row>
    <row r="229">
      <c r="E229" s="23"/>
      <c r="K229" s="39"/>
      <c r="L229" s="40"/>
    </row>
    <row r="230">
      <c r="E230" s="23"/>
      <c r="K230" s="39"/>
      <c r="L230" s="40"/>
    </row>
    <row r="231">
      <c r="E231" s="23"/>
      <c r="K231" s="39"/>
      <c r="L231" s="40"/>
    </row>
    <row r="232">
      <c r="E232" s="23"/>
      <c r="K232" s="39"/>
      <c r="L232" s="40"/>
    </row>
    <row r="233">
      <c r="E233" s="23"/>
      <c r="K233" s="39"/>
      <c r="L233" s="40"/>
    </row>
    <row r="234">
      <c r="E234" s="23"/>
      <c r="K234" s="39"/>
      <c r="L234" s="40"/>
    </row>
    <row r="235">
      <c r="E235" s="23"/>
      <c r="K235" s="39"/>
      <c r="L235" s="40"/>
    </row>
    <row r="236">
      <c r="E236" s="23"/>
      <c r="K236" s="39"/>
      <c r="L236" s="40"/>
    </row>
    <row r="237">
      <c r="E237" s="23"/>
      <c r="K237" s="39"/>
      <c r="L237" s="40"/>
    </row>
    <row r="238">
      <c r="E238" s="23"/>
      <c r="K238" s="39"/>
      <c r="L238" s="40"/>
    </row>
    <row r="239">
      <c r="E239" s="23"/>
      <c r="K239" s="39"/>
      <c r="L239" s="40"/>
    </row>
    <row r="240">
      <c r="E240" s="23"/>
      <c r="K240" s="39"/>
      <c r="L240" s="40"/>
    </row>
    <row r="241">
      <c r="E241" s="23"/>
      <c r="K241" s="39"/>
      <c r="L241" s="40"/>
    </row>
    <row r="242">
      <c r="E242" s="23"/>
      <c r="K242" s="39"/>
      <c r="L242" s="40"/>
    </row>
    <row r="243">
      <c r="E243" s="23"/>
      <c r="K243" s="39"/>
      <c r="L243" s="40"/>
    </row>
    <row r="244">
      <c r="E244" s="23"/>
      <c r="K244" s="39"/>
      <c r="L244" s="40"/>
    </row>
    <row r="245">
      <c r="E245" s="23"/>
      <c r="K245" s="39"/>
      <c r="L245" s="40"/>
    </row>
    <row r="246">
      <c r="E246" s="23"/>
      <c r="K246" s="39"/>
      <c r="L246" s="40"/>
    </row>
    <row r="247">
      <c r="E247" s="23"/>
      <c r="K247" s="39"/>
      <c r="L247" s="40"/>
    </row>
    <row r="248">
      <c r="E248" s="23"/>
      <c r="K248" s="39"/>
      <c r="L248" s="40"/>
    </row>
    <row r="249">
      <c r="E249" s="23"/>
      <c r="K249" s="39"/>
      <c r="L249" s="40"/>
    </row>
    <row r="250">
      <c r="E250" s="23"/>
      <c r="K250" s="39"/>
      <c r="L250" s="40"/>
    </row>
    <row r="251">
      <c r="E251" s="23"/>
      <c r="K251" s="39"/>
      <c r="L251" s="40"/>
    </row>
    <row r="252">
      <c r="E252" s="23"/>
      <c r="K252" s="39"/>
      <c r="L252" s="40"/>
    </row>
    <row r="253">
      <c r="E253" s="23"/>
      <c r="K253" s="39"/>
      <c r="L253" s="40"/>
    </row>
    <row r="254">
      <c r="E254" s="23"/>
      <c r="K254" s="39"/>
      <c r="L254" s="40"/>
    </row>
    <row r="255">
      <c r="E255" s="23"/>
      <c r="K255" s="39"/>
      <c r="L255" s="40"/>
    </row>
    <row r="256">
      <c r="E256" s="23"/>
      <c r="K256" s="39"/>
      <c r="L256" s="40"/>
    </row>
    <row r="257">
      <c r="E257" s="23"/>
      <c r="K257" s="39"/>
      <c r="L257" s="40"/>
    </row>
    <row r="258">
      <c r="E258" s="23"/>
      <c r="K258" s="39"/>
      <c r="L258" s="40"/>
    </row>
    <row r="259">
      <c r="E259" s="23"/>
      <c r="K259" s="39"/>
      <c r="L259" s="40"/>
    </row>
    <row r="260">
      <c r="E260" s="23"/>
      <c r="K260" s="39"/>
      <c r="L260" s="40"/>
    </row>
    <row r="261">
      <c r="E261" s="23"/>
      <c r="K261" s="39"/>
      <c r="L261" s="40"/>
    </row>
    <row r="262">
      <c r="E262" s="23"/>
      <c r="K262" s="39"/>
      <c r="L262" s="40"/>
    </row>
    <row r="263">
      <c r="E263" s="23"/>
      <c r="K263" s="39"/>
      <c r="L263" s="40"/>
    </row>
    <row r="264">
      <c r="E264" s="23"/>
      <c r="K264" s="39"/>
      <c r="L264" s="40"/>
    </row>
    <row r="265">
      <c r="E265" s="23"/>
      <c r="K265" s="39"/>
      <c r="L265" s="40"/>
    </row>
    <row r="266">
      <c r="E266" s="23"/>
      <c r="K266" s="39"/>
      <c r="L266" s="40"/>
    </row>
    <row r="267">
      <c r="E267" s="23"/>
      <c r="K267" s="39"/>
      <c r="L267" s="40"/>
    </row>
    <row r="268">
      <c r="E268" s="23"/>
      <c r="K268" s="39"/>
      <c r="L268" s="40"/>
    </row>
    <row r="269">
      <c r="E269" s="23"/>
      <c r="K269" s="39"/>
      <c r="L269" s="40"/>
    </row>
    <row r="270">
      <c r="E270" s="23"/>
      <c r="K270" s="39"/>
      <c r="L270" s="40"/>
    </row>
    <row r="271">
      <c r="E271" s="23"/>
      <c r="K271" s="39"/>
      <c r="L271" s="40"/>
    </row>
    <row r="272">
      <c r="E272" s="23"/>
      <c r="K272" s="39"/>
      <c r="L272" s="40"/>
    </row>
    <row r="273">
      <c r="E273" s="23"/>
      <c r="K273" s="39"/>
      <c r="L273" s="40"/>
    </row>
    <row r="274">
      <c r="E274" s="23"/>
      <c r="K274" s="39"/>
      <c r="L274" s="40"/>
    </row>
    <row r="275">
      <c r="E275" s="23"/>
      <c r="K275" s="39"/>
      <c r="L275" s="40"/>
    </row>
    <row r="276">
      <c r="E276" s="23"/>
      <c r="K276" s="39"/>
      <c r="L276" s="40"/>
    </row>
    <row r="277">
      <c r="E277" s="23"/>
      <c r="K277" s="39"/>
      <c r="L277" s="40"/>
    </row>
    <row r="278">
      <c r="E278" s="23"/>
      <c r="K278" s="39"/>
      <c r="L278" s="40"/>
    </row>
    <row r="279">
      <c r="E279" s="23"/>
      <c r="K279" s="39"/>
      <c r="L279" s="40"/>
    </row>
    <row r="280">
      <c r="E280" s="23"/>
      <c r="K280" s="39"/>
      <c r="L280" s="40"/>
    </row>
    <row r="281">
      <c r="E281" s="23"/>
      <c r="K281" s="39"/>
      <c r="L281" s="40"/>
    </row>
    <row r="282">
      <c r="E282" s="23"/>
      <c r="K282" s="39"/>
      <c r="L282" s="40"/>
    </row>
    <row r="283">
      <c r="E283" s="23"/>
      <c r="K283" s="39"/>
      <c r="L283" s="40"/>
    </row>
    <row r="284">
      <c r="E284" s="23"/>
      <c r="K284" s="39"/>
      <c r="L284" s="40"/>
    </row>
    <row r="285">
      <c r="E285" s="23"/>
      <c r="K285" s="39"/>
      <c r="L285" s="40"/>
    </row>
    <row r="286">
      <c r="E286" s="23"/>
      <c r="K286" s="39"/>
      <c r="L286" s="40"/>
    </row>
    <row r="287">
      <c r="E287" s="23"/>
      <c r="K287" s="39"/>
      <c r="L287" s="40"/>
    </row>
    <row r="288">
      <c r="E288" s="23"/>
      <c r="K288" s="39"/>
      <c r="L288" s="40"/>
    </row>
    <row r="289">
      <c r="E289" s="23"/>
      <c r="K289" s="39"/>
      <c r="L289" s="40"/>
    </row>
    <row r="290">
      <c r="E290" s="23"/>
      <c r="K290" s="39"/>
      <c r="L290" s="40"/>
    </row>
    <row r="291">
      <c r="E291" s="23"/>
      <c r="K291" s="39"/>
      <c r="L291" s="40"/>
    </row>
    <row r="292">
      <c r="E292" s="23"/>
      <c r="K292" s="39"/>
      <c r="L292" s="40"/>
    </row>
    <row r="293">
      <c r="E293" s="23"/>
      <c r="K293" s="39"/>
      <c r="L293" s="40"/>
    </row>
    <row r="294">
      <c r="E294" s="23"/>
      <c r="K294" s="39"/>
      <c r="L294" s="40"/>
    </row>
    <row r="295">
      <c r="E295" s="23"/>
      <c r="K295" s="39"/>
      <c r="L295" s="40"/>
    </row>
    <row r="296">
      <c r="E296" s="23"/>
      <c r="K296" s="39"/>
      <c r="L296" s="40"/>
    </row>
    <row r="297">
      <c r="E297" s="23"/>
      <c r="K297" s="39"/>
      <c r="L297" s="40"/>
    </row>
    <row r="298">
      <c r="E298" s="23"/>
      <c r="K298" s="39"/>
      <c r="L298" s="40"/>
    </row>
    <row r="299">
      <c r="E299" s="23"/>
      <c r="K299" s="39"/>
      <c r="L299" s="40"/>
    </row>
    <row r="300">
      <c r="E300" s="23"/>
      <c r="K300" s="39"/>
      <c r="L300" s="40"/>
    </row>
    <row r="301">
      <c r="E301" s="23"/>
      <c r="K301" s="39"/>
      <c r="L301" s="40"/>
    </row>
    <row r="302">
      <c r="E302" s="23"/>
      <c r="K302" s="39"/>
      <c r="L302" s="40"/>
    </row>
    <row r="303">
      <c r="E303" s="23"/>
      <c r="K303" s="39"/>
      <c r="L303" s="40"/>
    </row>
    <row r="304">
      <c r="E304" s="23"/>
      <c r="K304" s="39"/>
      <c r="L304" s="40"/>
    </row>
    <row r="305">
      <c r="E305" s="23"/>
      <c r="K305" s="39"/>
      <c r="L305" s="40"/>
    </row>
    <row r="306">
      <c r="E306" s="23"/>
      <c r="K306" s="39"/>
      <c r="L306" s="40"/>
    </row>
    <row r="307">
      <c r="E307" s="23"/>
      <c r="K307" s="39"/>
      <c r="L307" s="40"/>
    </row>
    <row r="308">
      <c r="E308" s="23"/>
      <c r="K308" s="39"/>
      <c r="L308" s="40"/>
    </row>
    <row r="309">
      <c r="E309" s="23"/>
      <c r="K309" s="39"/>
      <c r="L309" s="40"/>
    </row>
    <row r="310">
      <c r="E310" s="23"/>
      <c r="K310" s="39"/>
      <c r="L310" s="40"/>
    </row>
    <row r="311">
      <c r="E311" s="23"/>
      <c r="K311" s="39"/>
      <c r="L311" s="40"/>
    </row>
    <row r="312">
      <c r="E312" s="23"/>
      <c r="K312" s="39"/>
      <c r="L312" s="40"/>
    </row>
    <row r="313">
      <c r="E313" s="23"/>
      <c r="K313" s="39"/>
      <c r="L313" s="40"/>
    </row>
    <row r="314">
      <c r="E314" s="23"/>
      <c r="K314" s="39"/>
      <c r="L314" s="40"/>
    </row>
    <row r="315">
      <c r="E315" s="23"/>
      <c r="K315" s="39"/>
      <c r="L315" s="40"/>
    </row>
    <row r="316">
      <c r="E316" s="23"/>
      <c r="K316" s="39"/>
      <c r="L316" s="40"/>
    </row>
    <row r="317">
      <c r="E317" s="23"/>
      <c r="K317" s="39"/>
      <c r="L317" s="40"/>
    </row>
    <row r="318">
      <c r="E318" s="23"/>
      <c r="K318" s="39"/>
      <c r="L318" s="40"/>
    </row>
    <row r="319">
      <c r="E319" s="23"/>
      <c r="K319" s="39"/>
      <c r="L319" s="40"/>
    </row>
    <row r="320">
      <c r="E320" s="23"/>
      <c r="K320" s="39"/>
      <c r="L320" s="40"/>
    </row>
    <row r="321">
      <c r="E321" s="23"/>
      <c r="K321" s="39"/>
      <c r="L321" s="40"/>
    </row>
    <row r="322">
      <c r="E322" s="23"/>
      <c r="K322" s="39"/>
      <c r="L322" s="40"/>
    </row>
    <row r="323">
      <c r="E323" s="23"/>
      <c r="K323" s="39"/>
      <c r="L323" s="40"/>
    </row>
    <row r="324">
      <c r="E324" s="23"/>
      <c r="K324" s="39"/>
      <c r="L324" s="40"/>
    </row>
    <row r="325">
      <c r="E325" s="23"/>
      <c r="K325" s="39"/>
      <c r="L325" s="40"/>
    </row>
    <row r="326">
      <c r="E326" s="23"/>
      <c r="K326" s="39"/>
      <c r="L326" s="40"/>
    </row>
    <row r="327">
      <c r="E327" s="23"/>
      <c r="K327" s="39"/>
      <c r="L327" s="40"/>
    </row>
    <row r="328">
      <c r="E328" s="23"/>
      <c r="K328" s="39"/>
      <c r="L328" s="40"/>
    </row>
    <row r="329">
      <c r="E329" s="23"/>
      <c r="K329" s="39"/>
      <c r="L329" s="40"/>
    </row>
    <row r="330">
      <c r="E330" s="23"/>
      <c r="K330" s="39"/>
      <c r="L330" s="40"/>
    </row>
    <row r="331">
      <c r="E331" s="23"/>
      <c r="K331" s="39"/>
      <c r="L331" s="40"/>
    </row>
    <row r="332">
      <c r="E332" s="23"/>
      <c r="K332" s="39"/>
      <c r="L332" s="40"/>
    </row>
    <row r="333">
      <c r="E333" s="23"/>
      <c r="K333" s="39"/>
      <c r="L333" s="40"/>
    </row>
    <row r="334">
      <c r="E334" s="23"/>
      <c r="K334" s="39"/>
      <c r="L334" s="40"/>
    </row>
    <row r="335">
      <c r="E335" s="23"/>
      <c r="K335" s="39"/>
      <c r="L335" s="40"/>
    </row>
    <row r="336">
      <c r="E336" s="23"/>
      <c r="K336" s="39"/>
      <c r="L336" s="40"/>
    </row>
    <row r="337">
      <c r="E337" s="23"/>
      <c r="K337" s="39"/>
      <c r="L337" s="40"/>
    </row>
    <row r="338">
      <c r="E338" s="23"/>
      <c r="K338" s="39"/>
      <c r="L338" s="40"/>
    </row>
    <row r="339">
      <c r="E339" s="23"/>
      <c r="K339" s="39"/>
      <c r="L339" s="40"/>
    </row>
    <row r="340">
      <c r="E340" s="23"/>
      <c r="K340" s="39"/>
      <c r="L340" s="40"/>
    </row>
    <row r="341">
      <c r="E341" s="23"/>
      <c r="K341" s="39"/>
      <c r="L341" s="40"/>
    </row>
    <row r="342">
      <c r="E342" s="23"/>
      <c r="K342" s="39"/>
      <c r="L342" s="40"/>
    </row>
    <row r="343">
      <c r="E343" s="23"/>
      <c r="K343" s="39"/>
      <c r="L343" s="40"/>
    </row>
    <row r="344">
      <c r="E344" s="23"/>
      <c r="K344" s="39"/>
      <c r="L344" s="40"/>
    </row>
    <row r="345">
      <c r="E345" s="23"/>
      <c r="K345" s="39"/>
      <c r="L345" s="40"/>
    </row>
    <row r="346">
      <c r="E346" s="23"/>
      <c r="K346" s="39"/>
      <c r="L346" s="40"/>
    </row>
    <row r="347">
      <c r="E347" s="23"/>
      <c r="K347" s="39"/>
      <c r="L347" s="40"/>
    </row>
    <row r="348">
      <c r="E348" s="23"/>
      <c r="K348" s="39"/>
      <c r="L348" s="40"/>
    </row>
    <row r="349">
      <c r="E349" s="23"/>
      <c r="K349" s="39"/>
      <c r="L349" s="40"/>
    </row>
    <row r="350">
      <c r="E350" s="23"/>
      <c r="K350" s="39"/>
      <c r="L350" s="40"/>
    </row>
    <row r="351">
      <c r="E351" s="23"/>
      <c r="K351" s="39"/>
      <c r="L351" s="40"/>
    </row>
    <row r="352">
      <c r="E352" s="23"/>
      <c r="K352" s="39"/>
      <c r="L352" s="40"/>
    </row>
    <row r="353">
      <c r="E353" s="23"/>
      <c r="K353" s="39"/>
      <c r="L353" s="40"/>
    </row>
    <row r="354">
      <c r="E354" s="23"/>
      <c r="K354" s="39"/>
      <c r="L354" s="40"/>
    </row>
    <row r="355">
      <c r="E355" s="23"/>
      <c r="K355" s="39"/>
      <c r="L355" s="40"/>
    </row>
    <row r="356">
      <c r="E356" s="23"/>
      <c r="K356" s="39"/>
      <c r="L356" s="40"/>
    </row>
    <row r="357">
      <c r="E357" s="23"/>
      <c r="K357" s="39"/>
      <c r="L357" s="40"/>
    </row>
    <row r="358">
      <c r="E358" s="23"/>
      <c r="K358" s="39"/>
      <c r="L358" s="40"/>
    </row>
    <row r="359">
      <c r="E359" s="23"/>
      <c r="K359" s="39"/>
      <c r="L359" s="40"/>
    </row>
    <row r="360">
      <c r="E360" s="23"/>
      <c r="K360" s="39"/>
      <c r="L360" s="40"/>
    </row>
    <row r="361">
      <c r="E361" s="23"/>
      <c r="K361" s="39"/>
      <c r="L361" s="40"/>
    </row>
    <row r="362">
      <c r="E362" s="23"/>
      <c r="K362" s="39"/>
      <c r="L362" s="40"/>
    </row>
    <row r="363">
      <c r="E363" s="23"/>
      <c r="K363" s="39"/>
      <c r="L363" s="40"/>
    </row>
    <row r="364">
      <c r="E364" s="23"/>
      <c r="K364" s="39"/>
      <c r="L364" s="40"/>
    </row>
    <row r="365">
      <c r="E365" s="23"/>
      <c r="K365" s="39"/>
      <c r="L365" s="40"/>
    </row>
    <row r="366">
      <c r="E366" s="23"/>
      <c r="K366" s="39"/>
      <c r="L366" s="40"/>
    </row>
    <row r="367">
      <c r="E367" s="23"/>
      <c r="K367" s="39"/>
      <c r="L367" s="40"/>
    </row>
    <row r="368">
      <c r="E368" s="23"/>
      <c r="K368" s="39"/>
      <c r="L368" s="40"/>
    </row>
    <row r="369">
      <c r="E369" s="23"/>
      <c r="K369" s="39"/>
      <c r="L369" s="40"/>
    </row>
    <row r="370">
      <c r="E370" s="23"/>
      <c r="K370" s="39"/>
      <c r="L370" s="40"/>
    </row>
    <row r="371">
      <c r="E371" s="23"/>
      <c r="K371" s="39"/>
      <c r="L371" s="40"/>
    </row>
    <row r="372">
      <c r="E372" s="23"/>
      <c r="K372" s="39"/>
      <c r="L372" s="40"/>
    </row>
    <row r="373">
      <c r="E373" s="23"/>
      <c r="K373" s="39"/>
      <c r="L373" s="40"/>
    </row>
    <row r="374">
      <c r="E374" s="23"/>
      <c r="K374" s="39"/>
      <c r="L374" s="40"/>
    </row>
    <row r="375">
      <c r="E375" s="23"/>
      <c r="K375" s="39"/>
      <c r="L375" s="40"/>
    </row>
    <row r="376">
      <c r="E376" s="23"/>
      <c r="K376" s="39"/>
      <c r="L376" s="40"/>
    </row>
    <row r="377">
      <c r="E377" s="23"/>
      <c r="K377" s="39"/>
      <c r="L377" s="40"/>
    </row>
    <row r="378">
      <c r="E378" s="23"/>
      <c r="K378" s="39"/>
      <c r="L378" s="40"/>
    </row>
    <row r="379">
      <c r="E379" s="23"/>
      <c r="K379" s="39"/>
      <c r="L379" s="40"/>
    </row>
    <row r="380">
      <c r="E380" s="23"/>
      <c r="K380" s="39"/>
      <c r="L380" s="40"/>
    </row>
    <row r="381">
      <c r="E381" s="23"/>
      <c r="K381" s="39"/>
      <c r="L381" s="40"/>
    </row>
    <row r="382">
      <c r="E382" s="23"/>
      <c r="K382" s="39"/>
      <c r="L382" s="40"/>
    </row>
    <row r="383">
      <c r="E383" s="23"/>
      <c r="K383" s="39"/>
      <c r="L383" s="40"/>
    </row>
    <row r="384">
      <c r="E384" s="23"/>
      <c r="K384" s="39"/>
      <c r="L384" s="40"/>
    </row>
    <row r="385">
      <c r="E385" s="23"/>
      <c r="K385" s="39"/>
      <c r="L385" s="40"/>
    </row>
    <row r="386">
      <c r="E386" s="23"/>
      <c r="K386" s="39"/>
      <c r="L386" s="40"/>
    </row>
    <row r="387">
      <c r="E387" s="23"/>
      <c r="K387" s="39"/>
      <c r="L387" s="40"/>
    </row>
    <row r="388">
      <c r="E388" s="23"/>
      <c r="K388" s="39"/>
      <c r="L388" s="40"/>
    </row>
    <row r="389">
      <c r="E389" s="23"/>
      <c r="K389" s="39"/>
      <c r="L389" s="40"/>
    </row>
    <row r="390">
      <c r="E390" s="23"/>
      <c r="K390" s="39"/>
      <c r="L390" s="40"/>
    </row>
    <row r="391">
      <c r="E391" s="23"/>
      <c r="K391" s="39"/>
      <c r="L391" s="40"/>
    </row>
    <row r="392">
      <c r="E392" s="23"/>
      <c r="K392" s="39"/>
      <c r="L392" s="40"/>
    </row>
    <row r="393">
      <c r="E393" s="23"/>
      <c r="K393" s="39"/>
      <c r="L393" s="40"/>
    </row>
    <row r="394">
      <c r="E394" s="23"/>
      <c r="K394" s="39"/>
      <c r="L394" s="40"/>
    </row>
    <row r="395">
      <c r="E395" s="23"/>
      <c r="K395" s="39"/>
      <c r="L395" s="40"/>
    </row>
    <row r="396">
      <c r="E396" s="23"/>
      <c r="K396" s="39"/>
      <c r="L396" s="40"/>
    </row>
    <row r="397">
      <c r="E397" s="23"/>
      <c r="K397" s="39"/>
      <c r="L397" s="40"/>
    </row>
    <row r="398">
      <c r="E398" s="23"/>
      <c r="K398" s="39"/>
      <c r="L398" s="40"/>
    </row>
    <row r="399">
      <c r="E399" s="23"/>
      <c r="K399" s="39"/>
      <c r="L399" s="40"/>
    </row>
    <row r="400">
      <c r="E400" s="23"/>
      <c r="K400" s="39"/>
      <c r="L400" s="40"/>
    </row>
    <row r="401">
      <c r="E401" s="23"/>
      <c r="K401" s="39"/>
      <c r="L401" s="40"/>
    </row>
    <row r="402">
      <c r="E402" s="23"/>
      <c r="K402" s="39"/>
      <c r="L402" s="40"/>
    </row>
    <row r="403">
      <c r="E403" s="23"/>
      <c r="K403" s="39"/>
      <c r="L403" s="40"/>
    </row>
    <row r="404">
      <c r="E404" s="23"/>
      <c r="K404" s="39"/>
      <c r="L404" s="40"/>
    </row>
    <row r="405">
      <c r="E405" s="23"/>
      <c r="K405" s="39"/>
      <c r="L405" s="40"/>
    </row>
    <row r="406">
      <c r="E406" s="23"/>
      <c r="K406" s="39"/>
      <c r="L406" s="40"/>
    </row>
    <row r="407">
      <c r="E407" s="23"/>
      <c r="K407" s="39"/>
      <c r="L407" s="40"/>
    </row>
    <row r="408">
      <c r="E408" s="23"/>
      <c r="K408" s="39"/>
      <c r="L408" s="40"/>
    </row>
    <row r="409">
      <c r="E409" s="23"/>
      <c r="K409" s="39"/>
      <c r="L409" s="40"/>
    </row>
    <row r="410">
      <c r="E410" s="23"/>
      <c r="K410" s="39"/>
      <c r="L410" s="40"/>
    </row>
    <row r="411">
      <c r="E411" s="23"/>
      <c r="K411" s="39"/>
      <c r="L411" s="40"/>
    </row>
    <row r="412">
      <c r="E412" s="23"/>
      <c r="K412" s="39"/>
      <c r="L412" s="40"/>
    </row>
    <row r="413">
      <c r="E413" s="23"/>
      <c r="K413" s="39"/>
      <c r="L413" s="40"/>
    </row>
    <row r="414">
      <c r="E414" s="23"/>
      <c r="K414" s="39"/>
      <c r="L414" s="40"/>
    </row>
    <row r="415">
      <c r="E415" s="23"/>
      <c r="K415" s="39"/>
      <c r="L415" s="40"/>
    </row>
    <row r="416">
      <c r="E416" s="23"/>
      <c r="K416" s="39"/>
      <c r="L416" s="40"/>
    </row>
    <row r="417">
      <c r="E417" s="23"/>
      <c r="K417" s="39"/>
      <c r="L417" s="40"/>
    </row>
    <row r="418">
      <c r="E418" s="23"/>
      <c r="K418" s="39"/>
      <c r="L418" s="40"/>
    </row>
    <row r="419">
      <c r="E419" s="23"/>
      <c r="K419" s="39"/>
      <c r="L419" s="40"/>
    </row>
    <row r="420">
      <c r="E420" s="23"/>
      <c r="K420" s="39"/>
      <c r="L420" s="40"/>
    </row>
    <row r="421">
      <c r="E421" s="23"/>
      <c r="K421" s="39"/>
      <c r="L421" s="40"/>
    </row>
    <row r="422">
      <c r="E422" s="23"/>
      <c r="K422" s="39"/>
      <c r="L422" s="40"/>
    </row>
    <row r="423">
      <c r="E423" s="23"/>
      <c r="K423" s="39"/>
      <c r="L423" s="40"/>
    </row>
    <row r="424">
      <c r="E424" s="23"/>
      <c r="K424" s="39"/>
      <c r="L424" s="40"/>
    </row>
    <row r="425">
      <c r="E425" s="23"/>
      <c r="K425" s="39"/>
      <c r="L425" s="40"/>
    </row>
    <row r="426">
      <c r="E426" s="23"/>
      <c r="K426" s="39"/>
      <c r="L426" s="40"/>
    </row>
    <row r="427">
      <c r="E427" s="23"/>
      <c r="K427" s="39"/>
      <c r="L427" s="40"/>
    </row>
    <row r="428">
      <c r="E428" s="23"/>
      <c r="K428" s="39"/>
      <c r="L428" s="40"/>
    </row>
    <row r="429">
      <c r="E429" s="23"/>
      <c r="K429" s="39"/>
      <c r="L429" s="40"/>
    </row>
    <row r="430">
      <c r="E430" s="23"/>
      <c r="K430" s="39"/>
      <c r="L430" s="40"/>
    </row>
    <row r="431">
      <c r="E431" s="23"/>
      <c r="K431" s="39"/>
      <c r="L431" s="40"/>
    </row>
    <row r="432">
      <c r="E432" s="23"/>
      <c r="K432" s="39"/>
      <c r="L432" s="40"/>
    </row>
    <row r="433">
      <c r="E433" s="23"/>
      <c r="K433" s="39"/>
      <c r="L433" s="40"/>
    </row>
    <row r="434">
      <c r="E434" s="23"/>
      <c r="K434" s="39"/>
      <c r="L434" s="40"/>
    </row>
    <row r="435">
      <c r="E435" s="23"/>
      <c r="K435" s="39"/>
      <c r="L435" s="40"/>
    </row>
    <row r="436">
      <c r="E436" s="23"/>
      <c r="K436" s="39"/>
      <c r="L436" s="40"/>
    </row>
    <row r="437">
      <c r="E437" s="23"/>
      <c r="K437" s="39"/>
      <c r="L437" s="40"/>
    </row>
    <row r="438">
      <c r="E438" s="23"/>
      <c r="K438" s="39"/>
      <c r="L438" s="40"/>
    </row>
    <row r="439">
      <c r="E439" s="23"/>
      <c r="K439" s="39"/>
      <c r="L439" s="40"/>
    </row>
    <row r="440">
      <c r="E440" s="23"/>
      <c r="K440" s="39"/>
      <c r="L440" s="40"/>
    </row>
    <row r="441">
      <c r="E441" s="23"/>
      <c r="K441" s="39"/>
      <c r="L441" s="40"/>
    </row>
    <row r="442">
      <c r="E442" s="23"/>
      <c r="K442" s="39"/>
      <c r="L442" s="40"/>
    </row>
    <row r="443">
      <c r="E443" s="23"/>
      <c r="K443" s="39"/>
      <c r="L443" s="40"/>
    </row>
    <row r="444">
      <c r="E444" s="23"/>
      <c r="K444" s="39"/>
      <c r="L444" s="40"/>
    </row>
    <row r="445">
      <c r="E445" s="23"/>
      <c r="K445" s="39"/>
      <c r="L445" s="40"/>
    </row>
    <row r="446">
      <c r="E446" s="23"/>
      <c r="K446" s="39"/>
      <c r="L446" s="40"/>
    </row>
    <row r="447">
      <c r="E447" s="23"/>
      <c r="K447" s="39"/>
      <c r="L447" s="40"/>
    </row>
    <row r="448">
      <c r="E448" s="23"/>
      <c r="K448" s="39"/>
      <c r="L448" s="40"/>
    </row>
    <row r="449">
      <c r="E449" s="23"/>
      <c r="K449" s="39"/>
      <c r="L449" s="40"/>
    </row>
    <row r="450">
      <c r="E450" s="23"/>
      <c r="K450" s="39"/>
      <c r="L450" s="40"/>
    </row>
    <row r="451">
      <c r="E451" s="23"/>
      <c r="K451" s="39"/>
      <c r="L451" s="40"/>
    </row>
    <row r="452">
      <c r="E452" s="23"/>
      <c r="K452" s="39"/>
      <c r="L452" s="40"/>
    </row>
    <row r="453">
      <c r="E453" s="23"/>
      <c r="K453" s="39"/>
      <c r="L453" s="40"/>
    </row>
    <row r="454">
      <c r="E454" s="23"/>
      <c r="K454" s="39"/>
      <c r="L454" s="40"/>
    </row>
    <row r="455">
      <c r="E455" s="23"/>
      <c r="K455" s="39"/>
      <c r="L455" s="40"/>
    </row>
    <row r="456">
      <c r="E456" s="23"/>
      <c r="K456" s="39"/>
      <c r="L456" s="40"/>
    </row>
    <row r="457">
      <c r="E457" s="23"/>
      <c r="K457" s="39"/>
      <c r="L457" s="40"/>
    </row>
    <row r="458">
      <c r="E458" s="23"/>
      <c r="K458" s="39"/>
      <c r="L458" s="40"/>
    </row>
    <row r="459">
      <c r="E459" s="23"/>
      <c r="K459" s="39"/>
      <c r="L459" s="40"/>
    </row>
    <row r="460">
      <c r="E460" s="23"/>
      <c r="K460" s="39"/>
      <c r="L460" s="40"/>
    </row>
    <row r="461">
      <c r="E461" s="23"/>
      <c r="K461" s="39"/>
      <c r="L461" s="40"/>
    </row>
    <row r="462">
      <c r="E462" s="23"/>
      <c r="K462" s="39"/>
      <c r="L462" s="40"/>
    </row>
    <row r="463">
      <c r="E463" s="23"/>
      <c r="K463" s="39"/>
      <c r="L463" s="40"/>
    </row>
    <row r="464">
      <c r="E464" s="23"/>
      <c r="K464" s="39"/>
      <c r="L464" s="40"/>
    </row>
    <row r="465">
      <c r="E465" s="23"/>
      <c r="K465" s="39"/>
      <c r="L465" s="40"/>
    </row>
    <row r="466">
      <c r="E466" s="23"/>
      <c r="K466" s="39"/>
      <c r="L466" s="40"/>
    </row>
    <row r="467">
      <c r="E467" s="23"/>
      <c r="K467" s="39"/>
      <c r="L467" s="40"/>
    </row>
    <row r="468">
      <c r="E468" s="23"/>
      <c r="K468" s="39"/>
      <c r="L468" s="40"/>
    </row>
    <row r="469">
      <c r="E469" s="23"/>
      <c r="K469" s="39"/>
      <c r="L469" s="40"/>
    </row>
    <row r="470">
      <c r="E470" s="23"/>
      <c r="K470" s="39"/>
      <c r="L470" s="40"/>
    </row>
    <row r="471">
      <c r="E471" s="23"/>
      <c r="K471" s="39"/>
      <c r="L471" s="40"/>
    </row>
    <row r="472">
      <c r="E472" s="23"/>
      <c r="K472" s="39"/>
      <c r="L472" s="40"/>
    </row>
    <row r="473">
      <c r="E473" s="23"/>
      <c r="K473" s="39"/>
      <c r="L473" s="40"/>
    </row>
    <row r="474">
      <c r="E474" s="23"/>
      <c r="K474" s="39"/>
      <c r="L474" s="40"/>
    </row>
    <row r="475">
      <c r="E475" s="23"/>
      <c r="K475" s="39"/>
      <c r="L475" s="40"/>
    </row>
    <row r="476">
      <c r="E476" s="23"/>
      <c r="K476" s="39"/>
      <c r="L476" s="40"/>
    </row>
    <row r="477">
      <c r="E477" s="23"/>
      <c r="K477" s="39"/>
      <c r="L477" s="40"/>
    </row>
    <row r="478">
      <c r="E478" s="23"/>
      <c r="K478" s="39"/>
      <c r="L478" s="40"/>
    </row>
    <row r="479">
      <c r="E479" s="23"/>
      <c r="K479" s="39"/>
      <c r="L479" s="40"/>
    </row>
    <row r="480">
      <c r="E480" s="23"/>
      <c r="K480" s="39"/>
      <c r="L480" s="40"/>
    </row>
    <row r="481">
      <c r="E481" s="23"/>
      <c r="K481" s="39"/>
      <c r="L481" s="40"/>
    </row>
    <row r="482">
      <c r="E482" s="23"/>
      <c r="K482" s="39"/>
      <c r="L482" s="40"/>
    </row>
    <row r="483">
      <c r="E483" s="23"/>
      <c r="K483" s="39"/>
      <c r="L483" s="40"/>
    </row>
    <row r="484">
      <c r="E484" s="23"/>
      <c r="K484" s="39"/>
      <c r="L484" s="40"/>
    </row>
    <row r="485">
      <c r="E485" s="23"/>
      <c r="K485" s="39"/>
      <c r="L485" s="40"/>
    </row>
    <row r="486">
      <c r="E486" s="23"/>
      <c r="K486" s="39"/>
      <c r="L486" s="40"/>
    </row>
    <row r="487">
      <c r="E487" s="23"/>
      <c r="K487" s="39"/>
      <c r="L487" s="40"/>
    </row>
    <row r="488">
      <c r="E488" s="23"/>
      <c r="K488" s="39"/>
      <c r="L488" s="40"/>
    </row>
    <row r="489">
      <c r="E489" s="23"/>
      <c r="K489" s="39"/>
      <c r="L489" s="40"/>
    </row>
    <row r="490">
      <c r="E490" s="23"/>
      <c r="K490" s="39"/>
      <c r="L490" s="40"/>
    </row>
    <row r="491">
      <c r="E491" s="23"/>
      <c r="K491" s="39"/>
      <c r="L491" s="40"/>
    </row>
    <row r="492">
      <c r="E492" s="23"/>
      <c r="K492" s="39"/>
      <c r="L492" s="40"/>
    </row>
    <row r="493">
      <c r="E493" s="23"/>
      <c r="K493" s="39"/>
      <c r="L493" s="40"/>
    </row>
    <row r="494">
      <c r="E494" s="23"/>
      <c r="K494" s="39"/>
      <c r="L494" s="40"/>
    </row>
    <row r="495">
      <c r="E495" s="23"/>
      <c r="K495" s="39"/>
      <c r="L495" s="40"/>
    </row>
    <row r="496">
      <c r="E496" s="23"/>
      <c r="K496" s="39"/>
      <c r="L496" s="40"/>
    </row>
    <row r="497">
      <c r="E497" s="23"/>
      <c r="K497" s="39"/>
      <c r="L497" s="40"/>
    </row>
    <row r="498">
      <c r="E498" s="23"/>
      <c r="K498" s="39"/>
      <c r="L498" s="40"/>
    </row>
    <row r="499">
      <c r="E499" s="23"/>
      <c r="K499" s="39"/>
      <c r="L499" s="40"/>
    </row>
    <row r="500">
      <c r="E500" s="23"/>
      <c r="K500" s="39"/>
      <c r="L500" s="40"/>
    </row>
    <row r="501">
      <c r="E501" s="23"/>
      <c r="K501" s="39"/>
      <c r="L501" s="40"/>
    </row>
    <row r="502">
      <c r="E502" s="23"/>
      <c r="K502" s="39"/>
      <c r="L502" s="40"/>
    </row>
    <row r="503">
      <c r="E503" s="23"/>
      <c r="K503" s="39"/>
      <c r="L503" s="40"/>
    </row>
    <row r="504">
      <c r="E504" s="23"/>
      <c r="K504" s="39"/>
      <c r="L504" s="40"/>
    </row>
    <row r="505">
      <c r="E505" s="23"/>
      <c r="K505" s="39"/>
      <c r="L505" s="40"/>
    </row>
    <row r="506">
      <c r="E506" s="23"/>
      <c r="K506" s="39"/>
      <c r="L506" s="40"/>
    </row>
    <row r="507">
      <c r="E507" s="23"/>
      <c r="K507" s="39"/>
      <c r="L507" s="40"/>
    </row>
    <row r="508">
      <c r="E508" s="23"/>
      <c r="K508" s="39"/>
      <c r="L508" s="40"/>
    </row>
    <row r="509">
      <c r="E509" s="23"/>
      <c r="K509" s="39"/>
      <c r="L509" s="40"/>
    </row>
    <row r="510">
      <c r="E510" s="23"/>
      <c r="K510" s="39"/>
      <c r="L510" s="40"/>
    </row>
    <row r="511">
      <c r="E511" s="23"/>
      <c r="K511" s="39"/>
      <c r="L511" s="40"/>
    </row>
    <row r="512">
      <c r="E512" s="23"/>
      <c r="K512" s="39"/>
      <c r="L512" s="40"/>
    </row>
    <row r="513">
      <c r="E513" s="23"/>
      <c r="K513" s="39"/>
      <c r="L513" s="40"/>
    </row>
    <row r="514">
      <c r="E514" s="23"/>
      <c r="K514" s="39"/>
      <c r="L514" s="40"/>
    </row>
    <row r="515">
      <c r="E515" s="23"/>
      <c r="K515" s="39"/>
      <c r="L515" s="40"/>
    </row>
    <row r="516">
      <c r="E516" s="23"/>
      <c r="K516" s="39"/>
      <c r="L516" s="40"/>
    </row>
    <row r="517">
      <c r="E517" s="23"/>
      <c r="K517" s="39"/>
      <c r="L517" s="40"/>
    </row>
    <row r="518">
      <c r="E518" s="23"/>
      <c r="K518" s="39"/>
      <c r="L518" s="40"/>
    </row>
    <row r="519">
      <c r="E519" s="23"/>
      <c r="K519" s="39"/>
      <c r="L519" s="40"/>
    </row>
    <row r="520">
      <c r="E520" s="23"/>
      <c r="K520" s="39"/>
      <c r="L520" s="40"/>
    </row>
    <row r="521">
      <c r="E521" s="23"/>
      <c r="K521" s="39"/>
      <c r="L521" s="40"/>
    </row>
    <row r="522">
      <c r="E522" s="23"/>
      <c r="K522" s="39"/>
      <c r="L522" s="40"/>
    </row>
    <row r="523">
      <c r="E523" s="23"/>
      <c r="K523" s="39"/>
      <c r="L523" s="40"/>
    </row>
    <row r="524">
      <c r="E524" s="23"/>
      <c r="K524" s="39"/>
      <c r="L524" s="40"/>
    </row>
    <row r="525">
      <c r="E525" s="23"/>
      <c r="K525" s="39"/>
      <c r="L525" s="40"/>
    </row>
    <row r="526">
      <c r="E526" s="23"/>
      <c r="K526" s="39"/>
      <c r="L526" s="40"/>
    </row>
    <row r="527">
      <c r="E527" s="23"/>
      <c r="K527" s="39"/>
      <c r="L527" s="40"/>
    </row>
    <row r="528">
      <c r="E528" s="23"/>
      <c r="K528" s="39"/>
      <c r="L528" s="40"/>
    </row>
    <row r="529">
      <c r="E529" s="23"/>
      <c r="K529" s="39"/>
      <c r="L529" s="40"/>
    </row>
    <row r="530">
      <c r="E530" s="23"/>
      <c r="K530" s="39"/>
      <c r="L530" s="40"/>
    </row>
    <row r="531">
      <c r="E531" s="23"/>
      <c r="K531" s="39"/>
      <c r="L531" s="40"/>
    </row>
    <row r="532">
      <c r="E532" s="23"/>
      <c r="K532" s="39"/>
      <c r="L532" s="40"/>
    </row>
    <row r="533">
      <c r="E533" s="23"/>
      <c r="K533" s="39"/>
      <c r="L533" s="40"/>
    </row>
    <row r="534">
      <c r="E534" s="23"/>
      <c r="K534" s="39"/>
      <c r="L534" s="40"/>
    </row>
    <row r="535">
      <c r="E535" s="23"/>
      <c r="K535" s="39"/>
      <c r="L535" s="40"/>
    </row>
    <row r="536">
      <c r="E536" s="23"/>
      <c r="K536" s="39"/>
      <c r="L536" s="40"/>
    </row>
    <row r="537">
      <c r="E537" s="23"/>
      <c r="K537" s="39"/>
      <c r="L537" s="40"/>
    </row>
    <row r="538">
      <c r="E538" s="23"/>
      <c r="K538" s="39"/>
      <c r="L538" s="40"/>
    </row>
    <row r="539">
      <c r="E539" s="23"/>
      <c r="K539" s="39"/>
      <c r="L539" s="40"/>
    </row>
    <row r="540">
      <c r="E540" s="23"/>
      <c r="K540" s="39"/>
      <c r="L540" s="40"/>
    </row>
    <row r="541">
      <c r="E541" s="23"/>
      <c r="K541" s="39"/>
      <c r="L541" s="40"/>
    </row>
    <row r="542">
      <c r="E542" s="23"/>
      <c r="K542" s="39"/>
      <c r="L542" s="40"/>
    </row>
    <row r="543">
      <c r="E543" s="23"/>
      <c r="K543" s="39"/>
      <c r="L543" s="40"/>
    </row>
    <row r="544">
      <c r="E544" s="23"/>
      <c r="K544" s="39"/>
      <c r="L544" s="40"/>
    </row>
    <row r="545">
      <c r="E545" s="23"/>
      <c r="K545" s="39"/>
      <c r="L545" s="40"/>
    </row>
    <row r="546">
      <c r="E546" s="23"/>
      <c r="K546" s="39"/>
      <c r="L546" s="40"/>
    </row>
    <row r="547">
      <c r="E547" s="23"/>
      <c r="K547" s="39"/>
      <c r="L547" s="40"/>
    </row>
    <row r="548">
      <c r="E548" s="23"/>
      <c r="K548" s="39"/>
      <c r="L548" s="40"/>
    </row>
    <row r="549">
      <c r="E549" s="23"/>
      <c r="K549" s="39"/>
      <c r="L549" s="40"/>
    </row>
    <row r="550">
      <c r="E550" s="23"/>
      <c r="K550" s="39"/>
      <c r="L550" s="40"/>
    </row>
    <row r="551">
      <c r="E551" s="23"/>
      <c r="K551" s="39"/>
      <c r="L551" s="40"/>
    </row>
    <row r="552">
      <c r="E552" s="23"/>
      <c r="K552" s="39"/>
      <c r="L552" s="40"/>
    </row>
    <row r="553">
      <c r="E553" s="23"/>
      <c r="K553" s="39"/>
      <c r="L553" s="40"/>
    </row>
    <row r="554">
      <c r="E554" s="23"/>
      <c r="K554" s="39"/>
      <c r="L554" s="40"/>
    </row>
    <row r="555">
      <c r="E555" s="23"/>
      <c r="K555" s="39"/>
      <c r="L555" s="40"/>
    </row>
    <row r="556">
      <c r="E556" s="23"/>
      <c r="K556" s="39"/>
      <c r="L556" s="40"/>
    </row>
    <row r="557">
      <c r="E557" s="23"/>
      <c r="K557" s="39"/>
      <c r="L557" s="40"/>
    </row>
    <row r="558">
      <c r="E558" s="23"/>
      <c r="K558" s="39"/>
      <c r="L558" s="40"/>
    </row>
    <row r="559">
      <c r="E559" s="23"/>
      <c r="K559" s="39"/>
      <c r="L559" s="40"/>
    </row>
    <row r="560">
      <c r="E560" s="23"/>
      <c r="K560" s="39"/>
      <c r="L560" s="40"/>
    </row>
    <row r="561">
      <c r="E561" s="23"/>
      <c r="K561" s="39"/>
      <c r="L561" s="40"/>
    </row>
    <row r="562">
      <c r="E562" s="23"/>
      <c r="K562" s="39"/>
      <c r="L562" s="40"/>
    </row>
    <row r="563">
      <c r="E563" s="23"/>
      <c r="K563" s="39"/>
      <c r="L563" s="40"/>
    </row>
    <row r="564">
      <c r="E564" s="23"/>
      <c r="K564" s="39"/>
      <c r="L564" s="40"/>
    </row>
    <row r="565">
      <c r="E565" s="23"/>
      <c r="K565" s="39"/>
      <c r="L565" s="40"/>
    </row>
    <row r="566">
      <c r="E566" s="23"/>
      <c r="K566" s="39"/>
      <c r="L566" s="40"/>
    </row>
    <row r="567">
      <c r="E567" s="23"/>
      <c r="K567" s="39"/>
      <c r="L567" s="40"/>
    </row>
    <row r="568">
      <c r="E568" s="23"/>
      <c r="K568" s="39"/>
      <c r="L568" s="40"/>
    </row>
    <row r="569">
      <c r="E569" s="23"/>
      <c r="K569" s="39"/>
      <c r="L569" s="40"/>
    </row>
    <row r="570">
      <c r="E570" s="23"/>
      <c r="K570" s="39"/>
      <c r="L570" s="40"/>
    </row>
    <row r="571">
      <c r="E571" s="23"/>
      <c r="K571" s="39"/>
      <c r="L571" s="40"/>
    </row>
    <row r="572">
      <c r="E572" s="23"/>
      <c r="K572" s="39"/>
      <c r="L572" s="40"/>
    </row>
    <row r="573">
      <c r="E573" s="23"/>
      <c r="K573" s="39"/>
      <c r="L573" s="40"/>
    </row>
    <row r="574">
      <c r="E574" s="23"/>
      <c r="K574" s="39"/>
      <c r="L574" s="40"/>
    </row>
    <row r="575">
      <c r="E575" s="23"/>
      <c r="K575" s="39"/>
      <c r="L575" s="40"/>
    </row>
    <row r="576">
      <c r="E576" s="23"/>
      <c r="K576" s="39"/>
      <c r="L576" s="40"/>
    </row>
    <row r="577">
      <c r="E577" s="23"/>
      <c r="K577" s="39"/>
      <c r="L577" s="40"/>
    </row>
    <row r="578">
      <c r="E578" s="23"/>
      <c r="K578" s="39"/>
      <c r="L578" s="40"/>
    </row>
    <row r="579">
      <c r="E579" s="23"/>
      <c r="K579" s="39"/>
      <c r="L579" s="40"/>
    </row>
    <row r="580">
      <c r="E580" s="23"/>
      <c r="K580" s="39"/>
      <c r="L580" s="40"/>
    </row>
    <row r="581">
      <c r="E581" s="23"/>
      <c r="K581" s="39"/>
      <c r="L581" s="40"/>
    </row>
    <row r="582">
      <c r="E582" s="23"/>
      <c r="K582" s="39"/>
      <c r="L582" s="40"/>
    </row>
    <row r="583">
      <c r="E583" s="23"/>
      <c r="K583" s="39"/>
      <c r="L583" s="40"/>
    </row>
    <row r="584">
      <c r="E584" s="23"/>
      <c r="K584" s="39"/>
      <c r="L584" s="40"/>
    </row>
    <row r="585">
      <c r="E585" s="23"/>
      <c r="K585" s="39"/>
      <c r="L585" s="40"/>
    </row>
    <row r="586">
      <c r="E586" s="23"/>
      <c r="K586" s="39"/>
      <c r="L586" s="40"/>
    </row>
    <row r="587">
      <c r="E587" s="23"/>
      <c r="K587" s="39"/>
      <c r="L587" s="40"/>
    </row>
    <row r="588">
      <c r="E588" s="23"/>
      <c r="K588" s="39"/>
      <c r="L588" s="40"/>
    </row>
    <row r="589">
      <c r="E589" s="23"/>
      <c r="K589" s="39"/>
      <c r="L589" s="40"/>
    </row>
    <row r="590">
      <c r="E590" s="23"/>
      <c r="K590" s="39"/>
      <c r="L590" s="40"/>
    </row>
    <row r="591">
      <c r="E591" s="23"/>
      <c r="K591" s="39"/>
      <c r="L591" s="40"/>
    </row>
    <row r="592">
      <c r="E592" s="23"/>
      <c r="K592" s="39"/>
      <c r="L592" s="40"/>
    </row>
    <row r="593">
      <c r="E593" s="23"/>
      <c r="K593" s="39"/>
      <c r="L593" s="40"/>
    </row>
    <row r="594">
      <c r="E594" s="23"/>
      <c r="K594" s="39"/>
      <c r="L594" s="40"/>
    </row>
    <row r="595">
      <c r="E595" s="23"/>
      <c r="K595" s="39"/>
      <c r="L595" s="40"/>
    </row>
    <row r="596">
      <c r="E596" s="23"/>
      <c r="K596" s="39"/>
      <c r="L596" s="40"/>
    </row>
    <row r="597">
      <c r="E597" s="23"/>
      <c r="K597" s="39"/>
      <c r="L597" s="40"/>
    </row>
    <row r="598">
      <c r="E598" s="23"/>
      <c r="K598" s="39"/>
      <c r="L598" s="40"/>
    </row>
    <row r="599">
      <c r="E599" s="23"/>
      <c r="K599" s="39"/>
      <c r="L599" s="40"/>
    </row>
    <row r="600">
      <c r="E600" s="23"/>
      <c r="K600" s="39"/>
      <c r="L600" s="40"/>
    </row>
    <row r="601">
      <c r="E601" s="23"/>
      <c r="K601" s="39"/>
      <c r="L601" s="40"/>
    </row>
    <row r="602">
      <c r="E602" s="23"/>
      <c r="K602" s="39"/>
      <c r="L602" s="40"/>
    </row>
    <row r="603">
      <c r="E603" s="23"/>
      <c r="K603" s="39"/>
      <c r="L603" s="40"/>
    </row>
    <row r="604">
      <c r="E604" s="23"/>
      <c r="K604" s="39"/>
      <c r="L604" s="40"/>
    </row>
    <row r="605">
      <c r="E605" s="23"/>
      <c r="K605" s="39"/>
      <c r="L605" s="40"/>
    </row>
    <row r="606">
      <c r="E606" s="23"/>
      <c r="K606" s="39"/>
      <c r="L606" s="40"/>
    </row>
    <row r="607">
      <c r="E607" s="23"/>
      <c r="K607" s="39"/>
      <c r="L607" s="40"/>
    </row>
    <row r="608">
      <c r="E608" s="23"/>
      <c r="K608" s="39"/>
      <c r="L608" s="40"/>
    </row>
    <row r="609">
      <c r="E609" s="23"/>
      <c r="K609" s="39"/>
      <c r="L609" s="40"/>
    </row>
    <row r="610">
      <c r="E610" s="23"/>
      <c r="K610" s="39"/>
      <c r="L610" s="40"/>
    </row>
    <row r="611">
      <c r="E611" s="23"/>
      <c r="K611" s="39"/>
      <c r="L611" s="40"/>
    </row>
    <row r="612">
      <c r="E612" s="23"/>
      <c r="K612" s="39"/>
      <c r="L612" s="40"/>
    </row>
    <row r="613">
      <c r="E613" s="23"/>
      <c r="K613" s="39"/>
      <c r="L613" s="40"/>
    </row>
    <row r="614">
      <c r="E614" s="23"/>
      <c r="K614" s="39"/>
      <c r="L614" s="40"/>
    </row>
    <row r="615">
      <c r="E615" s="23"/>
      <c r="K615" s="39"/>
      <c r="L615" s="40"/>
    </row>
    <row r="616">
      <c r="E616" s="23"/>
      <c r="K616" s="39"/>
      <c r="L616" s="40"/>
    </row>
    <row r="617">
      <c r="E617" s="23"/>
      <c r="K617" s="39"/>
      <c r="L617" s="40"/>
    </row>
    <row r="618">
      <c r="E618" s="23"/>
      <c r="K618" s="39"/>
      <c r="L618" s="40"/>
    </row>
    <row r="619">
      <c r="E619" s="23"/>
      <c r="K619" s="39"/>
      <c r="L619" s="40"/>
    </row>
    <row r="620">
      <c r="E620" s="23"/>
      <c r="K620" s="39"/>
      <c r="L620" s="40"/>
    </row>
    <row r="621">
      <c r="E621" s="23"/>
      <c r="K621" s="39"/>
      <c r="L621" s="40"/>
    </row>
    <row r="622">
      <c r="E622" s="23"/>
      <c r="K622" s="39"/>
      <c r="L622" s="40"/>
    </row>
    <row r="623">
      <c r="E623" s="23"/>
      <c r="K623" s="39"/>
      <c r="L623" s="40"/>
    </row>
    <row r="624">
      <c r="E624" s="23"/>
      <c r="K624" s="39"/>
      <c r="L624" s="40"/>
    </row>
    <row r="625">
      <c r="E625" s="23"/>
      <c r="K625" s="39"/>
      <c r="L625" s="40"/>
    </row>
    <row r="626">
      <c r="E626" s="23"/>
      <c r="K626" s="39"/>
      <c r="L626" s="40"/>
    </row>
    <row r="627">
      <c r="E627" s="23"/>
      <c r="K627" s="39"/>
      <c r="L627" s="40"/>
    </row>
    <row r="628">
      <c r="E628" s="23"/>
      <c r="K628" s="39"/>
      <c r="L628" s="40"/>
    </row>
    <row r="629">
      <c r="E629" s="23"/>
      <c r="K629" s="39"/>
      <c r="L629" s="40"/>
    </row>
    <row r="630">
      <c r="E630" s="23"/>
      <c r="K630" s="39"/>
      <c r="L630" s="40"/>
    </row>
    <row r="631">
      <c r="E631" s="23"/>
      <c r="K631" s="39"/>
      <c r="L631" s="40"/>
    </row>
    <row r="632">
      <c r="E632" s="23"/>
      <c r="K632" s="39"/>
      <c r="L632" s="40"/>
    </row>
    <row r="633">
      <c r="E633" s="23"/>
      <c r="K633" s="39"/>
      <c r="L633" s="40"/>
    </row>
    <row r="634">
      <c r="E634" s="23"/>
      <c r="K634" s="39"/>
      <c r="L634" s="40"/>
    </row>
    <row r="635">
      <c r="E635" s="23"/>
      <c r="K635" s="39"/>
      <c r="L635" s="40"/>
    </row>
    <row r="636">
      <c r="E636" s="23"/>
      <c r="K636" s="39"/>
      <c r="L636" s="40"/>
    </row>
    <row r="637">
      <c r="E637" s="23"/>
      <c r="K637" s="39"/>
      <c r="L637" s="40"/>
    </row>
    <row r="638">
      <c r="E638" s="23"/>
      <c r="K638" s="39"/>
      <c r="L638" s="40"/>
    </row>
    <row r="639">
      <c r="E639" s="23"/>
      <c r="K639" s="39"/>
      <c r="L639" s="40"/>
    </row>
    <row r="640">
      <c r="E640" s="23"/>
      <c r="K640" s="39"/>
      <c r="L640" s="40"/>
    </row>
    <row r="641">
      <c r="E641" s="23"/>
      <c r="K641" s="39"/>
      <c r="L641" s="40"/>
    </row>
    <row r="642">
      <c r="E642" s="23"/>
      <c r="K642" s="39"/>
      <c r="L642" s="40"/>
    </row>
    <row r="643">
      <c r="E643" s="23"/>
      <c r="K643" s="39"/>
      <c r="L643" s="40"/>
    </row>
    <row r="644">
      <c r="E644" s="23"/>
      <c r="K644" s="39"/>
      <c r="L644" s="40"/>
    </row>
    <row r="645">
      <c r="E645" s="23"/>
      <c r="K645" s="39"/>
      <c r="L645" s="40"/>
    </row>
    <row r="646">
      <c r="E646" s="23"/>
      <c r="K646" s="39"/>
      <c r="L646" s="40"/>
    </row>
    <row r="647">
      <c r="E647" s="23"/>
      <c r="K647" s="39"/>
      <c r="L647" s="40"/>
    </row>
    <row r="648">
      <c r="E648" s="23"/>
      <c r="K648" s="39"/>
      <c r="L648" s="40"/>
    </row>
    <row r="649">
      <c r="E649" s="23"/>
      <c r="K649" s="39"/>
      <c r="L649" s="40"/>
    </row>
    <row r="650">
      <c r="E650" s="23"/>
      <c r="K650" s="39"/>
      <c r="L650" s="40"/>
    </row>
    <row r="651">
      <c r="E651" s="23"/>
      <c r="K651" s="39"/>
      <c r="L651" s="40"/>
    </row>
    <row r="652">
      <c r="E652" s="23"/>
      <c r="K652" s="39"/>
      <c r="L652" s="40"/>
    </row>
    <row r="653">
      <c r="E653" s="23"/>
      <c r="K653" s="39"/>
      <c r="L653" s="40"/>
    </row>
    <row r="654">
      <c r="E654" s="23"/>
      <c r="K654" s="39"/>
      <c r="L654" s="40"/>
    </row>
    <row r="655">
      <c r="E655" s="23"/>
      <c r="K655" s="39"/>
      <c r="L655" s="40"/>
    </row>
    <row r="656">
      <c r="E656" s="23"/>
      <c r="K656" s="39"/>
      <c r="L656" s="40"/>
    </row>
    <row r="657">
      <c r="E657" s="23"/>
      <c r="K657" s="39"/>
      <c r="L657" s="40"/>
    </row>
    <row r="658">
      <c r="E658" s="23"/>
      <c r="K658" s="39"/>
      <c r="L658" s="40"/>
    </row>
    <row r="659">
      <c r="E659" s="23"/>
      <c r="K659" s="39"/>
      <c r="L659" s="40"/>
    </row>
    <row r="660">
      <c r="E660" s="23"/>
      <c r="K660" s="39"/>
      <c r="L660" s="40"/>
    </row>
    <row r="661">
      <c r="E661" s="23"/>
      <c r="K661" s="39"/>
      <c r="L661" s="40"/>
    </row>
    <row r="662">
      <c r="E662" s="23"/>
      <c r="K662" s="39"/>
      <c r="L662" s="40"/>
    </row>
    <row r="663">
      <c r="E663" s="23"/>
      <c r="K663" s="39"/>
      <c r="L663" s="40"/>
    </row>
    <row r="664">
      <c r="E664" s="23"/>
      <c r="K664" s="39"/>
      <c r="L664" s="40"/>
    </row>
    <row r="665">
      <c r="E665" s="23"/>
      <c r="K665" s="39"/>
      <c r="L665" s="40"/>
    </row>
    <row r="666">
      <c r="E666" s="23"/>
      <c r="K666" s="39"/>
      <c r="L666" s="40"/>
    </row>
    <row r="667">
      <c r="E667" s="23"/>
      <c r="K667" s="39"/>
      <c r="L667" s="40"/>
    </row>
    <row r="668">
      <c r="E668" s="23"/>
      <c r="K668" s="39"/>
      <c r="L668" s="40"/>
    </row>
    <row r="669">
      <c r="E669" s="23"/>
      <c r="K669" s="39"/>
      <c r="L669" s="40"/>
    </row>
    <row r="670">
      <c r="E670" s="23"/>
      <c r="K670" s="39"/>
      <c r="L670" s="40"/>
    </row>
    <row r="671">
      <c r="E671" s="23"/>
      <c r="K671" s="39"/>
      <c r="L671" s="40"/>
    </row>
    <row r="672">
      <c r="E672" s="23"/>
      <c r="K672" s="39"/>
      <c r="L672" s="40"/>
    </row>
    <row r="673">
      <c r="E673" s="23"/>
      <c r="K673" s="39"/>
      <c r="L673" s="40"/>
    </row>
    <row r="674">
      <c r="E674" s="23"/>
      <c r="K674" s="39"/>
      <c r="L674" s="40"/>
    </row>
    <row r="675">
      <c r="E675" s="23"/>
      <c r="K675" s="39"/>
      <c r="L675" s="40"/>
    </row>
    <row r="676">
      <c r="E676" s="23"/>
      <c r="K676" s="39"/>
      <c r="L676" s="40"/>
    </row>
    <row r="677">
      <c r="E677" s="23"/>
      <c r="K677" s="39"/>
      <c r="L677" s="40"/>
    </row>
    <row r="678">
      <c r="E678" s="23"/>
      <c r="K678" s="39"/>
      <c r="L678" s="40"/>
    </row>
    <row r="679">
      <c r="E679" s="23"/>
      <c r="K679" s="39"/>
      <c r="L679" s="40"/>
    </row>
    <row r="680">
      <c r="E680" s="23"/>
      <c r="K680" s="39"/>
      <c r="L680" s="40"/>
    </row>
    <row r="681">
      <c r="E681" s="23"/>
      <c r="K681" s="39"/>
      <c r="L681" s="40"/>
    </row>
    <row r="682">
      <c r="E682" s="23"/>
      <c r="K682" s="39"/>
      <c r="L682" s="40"/>
    </row>
    <row r="683">
      <c r="E683" s="23"/>
      <c r="K683" s="39"/>
      <c r="L683" s="40"/>
    </row>
    <row r="684">
      <c r="E684" s="23"/>
      <c r="K684" s="39"/>
      <c r="L684" s="40"/>
    </row>
    <row r="685">
      <c r="E685" s="23"/>
      <c r="K685" s="39"/>
      <c r="L685" s="40"/>
    </row>
    <row r="686">
      <c r="E686" s="23"/>
      <c r="K686" s="39"/>
      <c r="L686" s="40"/>
    </row>
    <row r="687">
      <c r="E687" s="23"/>
      <c r="K687" s="39"/>
      <c r="L687" s="40"/>
    </row>
    <row r="688">
      <c r="E688" s="23"/>
      <c r="K688" s="39"/>
      <c r="L688" s="40"/>
    </row>
    <row r="689">
      <c r="E689" s="23"/>
      <c r="K689" s="39"/>
      <c r="L689" s="40"/>
    </row>
    <row r="690">
      <c r="E690" s="23"/>
      <c r="K690" s="39"/>
      <c r="L690" s="40"/>
    </row>
    <row r="691">
      <c r="E691" s="23"/>
      <c r="K691" s="39"/>
      <c r="L691" s="40"/>
    </row>
    <row r="692">
      <c r="E692" s="23"/>
      <c r="K692" s="39"/>
      <c r="L692" s="40"/>
    </row>
    <row r="693">
      <c r="E693" s="23"/>
      <c r="K693" s="39"/>
      <c r="L693" s="40"/>
    </row>
    <row r="694">
      <c r="E694" s="23"/>
      <c r="K694" s="39"/>
      <c r="L694" s="40"/>
    </row>
    <row r="695">
      <c r="E695" s="23"/>
      <c r="K695" s="39"/>
      <c r="L695" s="40"/>
    </row>
    <row r="696">
      <c r="E696" s="23"/>
      <c r="K696" s="39"/>
      <c r="L696" s="40"/>
    </row>
    <row r="697">
      <c r="E697" s="23"/>
      <c r="K697" s="39"/>
      <c r="L697" s="40"/>
    </row>
    <row r="698">
      <c r="E698" s="23"/>
      <c r="K698" s="39"/>
      <c r="L698" s="40"/>
    </row>
    <row r="699">
      <c r="E699" s="23"/>
      <c r="K699" s="39"/>
      <c r="L699" s="40"/>
    </row>
    <row r="700">
      <c r="E700" s="23"/>
      <c r="K700" s="39"/>
      <c r="L700" s="40"/>
    </row>
    <row r="701">
      <c r="E701" s="23"/>
      <c r="K701" s="39"/>
      <c r="L701" s="40"/>
    </row>
    <row r="702">
      <c r="E702" s="23"/>
      <c r="K702" s="39"/>
      <c r="L702" s="40"/>
    </row>
    <row r="703">
      <c r="E703" s="23"/>
      <c r="K703" s="39"/>
      <c r="L703" s="40"/>
    </row>
    <row r="704">
      <c r="E704" s="23"/>
      <c r="K704" s="39"/>
      <c r="L704" s="40"/>
    </row>
    <row r="705">
      <c r="E705" s="23"/>
      <c r="K705" s="39"/>
      <c r="L705" s="40"/>
    </row>
    <row r="706">
      <c r="E706" s="23"/>
      <c r="K706" s="39"/>
      <c r="L706" s="40"/>
    </row>
    <row r="707">
      <c r="E707" s="23"/>
      <c r="K707" s="39"/>
      <c r="L707" s="40"/>
    </row>
    <row r="708">
      <c r="E708" s="23"/>
      <c r="K708" s="39"/>
      <c r="L708" s="40"/>
    </row>
    <row r="709">
      <c r="E709" s="23"/>
      <c r="K709" s="39"/>
      <c r="L709" s="40"/>
    </row>
    <row r="710">
      <c r="E710" s="23"/>
      <c r="K710" s="39"/>
      <c r="L710" s="40"/>
    </row>
    <row r="711">
      <c r="E711" s="23"/>
      <c r="K711" s="39"/>
      <c r="L711" s="40"/>
    </row>
    <row r="712">
      <c r="E712" s="23"/>
      <c r="K712" s="39"/>
      <c r="L712" s="40"/>
    </row>
    <row r="713">
      <c r="E713" s="23"/>
      <c r="K713" s="39"/>
      <c r="L713" s="40"/>
    </row>
    <row r="714">
      <c r="E714" s="23"/>
      <c r="K714" s="39"/>
      <c r="L714" s="40"/>
    </row>
    <row r="715">
      <c r="E715" s="23"/>
      <c r="K715" s="39"/>
      <c r="L715" s="40"/>
    </row>
    <row r="716">
      <c r="E716" s="23"/>
      <c r="K716" s="39"/>
      <c r="L716" s="40"/>
    </row>
    <row r="717">
      <c r="E717" s="23"/>
      <c r="K717" s="39"/>
      <c r="L717" s="40"/>
    </row>
    <row r="718">
      <c r="E718" s="23"/>
      <c r="K718" s="39"/>
      <c r="L718" s="40"/>
    </row>
    <row r="719">
      <c r="E719" s="23"/>
      <c r="K719" s="39"/>
      <c r="L719" s="40"/>
    </row>
    <row r="720">
      <c r="E720" s="23"/>
      <c r="K720" s="39"/>
      <c r="L720" s="40"/>
    </row>
    <row r="721">
      <c r="E721" s="23"/>
      <c r="K721" s="39"/>
      <c r="L721" s="40"/>
    </row>
    <row r="722">
      <c r="E722" s="23"/>
      <c r="K722" s="39"/>
      <c r="L722" s="40"/>
    </row>
    <row r="723">
      <c r="E723" s="23"/>
      <c r="K723" s="39"/>
      <c r="L723" s="40"/>
    </row>
    <row r="724">
      <c r="E724" s="23"/>
      <c r="K724" s="39"/>
      <c r="L724" s="40"/>
    </row>
    <row r="725">
      <c r="E725" s="23"/>
      <c r="K725" s="39"/>
      <c r="L725" s="40"/>
    </row>
    <row r="726">
      <c r="E726" s="23"/>
      <c r="K726" s="39"/>
      <c r="L726" s="40"/>
    </row>
    <row r="727">
      <c r="E727" s="23"/>
      <c r="K727" s="39"/>
      <c r="L727" s="40"/>
    </row>
    <row r="728">
      <c r="E728" s="23"/>
      <c r="K728" s="39"/>
      <c r="L728" s="40"/>
    </row>
    <row r="729">
      <c r="E729" s="23"/>
      <c r="K729" s="39"/>
      <c r="L729" s="40"/>
    </row>
    <row r="730">
      <c r="E730" s="23"/>
      <c r="K730" s="39"/>
      <c r="L730" s="40"/>
    </row>
    <row r="731">
      <c r="E731" s="23"/>
      <c r="K731" s="39"/>
      <c r="L731" s="40"/>
    </row>
    <row r="732">
      <c r="E732" s="23"/>
      <c r="K732" s="39"/>
      <c r="L732" s="40"/>
    </row>
    <row r="733">
      <c r="E733" s="23"/>
      <c r="K733" s="39"/>
      <c r="L733" s="40"/>
    </row>
    <row r="734">
      <c r="E734" s="23"/>
      <c r="K734" s="39"/>
      <c r="L734" s="40"/>
    </row>
    <row r="735">
      <c r="E735" s="23"/>
      <c r="K735" s="39"/>
      <c r="L735" s="40"/>
    </row>
    <row r="736">
      <c r="E736" s="23"/>
      <c r="K736" s="39"/>
      <c r="L736" s="40"/>
    </row>
    <row r="737">
      <c r="E737" s="23"/>
      <c r="K737" s="39"/>
      <c r="L737" s="40"/>
    </row>
    <row r="738">
      <c r="E738" s="23"/>
      <c r="K738" s="39"/>
      <c r="L738" s="40"/>
    </row>
    <row r="739">
      <c r="E739" s="23"/>
      <c r="K739" s="39"/>
      <c r="L739" s="40"/>
    </row>
    <row r="740">
      <c r="E740" s="23"/>
      <c r="K740" s="39"/>
      <c r="L740" s="40"/>
    </row>
    <row r="741">
      <c r="E741" s="23"/>
      <c r="K741" s="39"/>
      <c r="L741" s="40"/>
    </row>
    <row r="742">
      <c r="E742" s="23"/>
      <c r="K742" s="39"/>
      <c r="L742" s="40"/>
    </row>
    <row r="743">
      <c r="E743" s="23"/>
      <c r="K743" s="39"/>
      <c r="L743" s="40"/>
    </row>
    <row r="744">
      <c r="E744" s="23"/>
      <c r="K744" s="39"/>
      <c r="L744" s="40"/>
    </row>
    <row r="745">
      <c r="E745" s="23"/>
      <c r="K745" s="39"/>
      <c r="L745" s="40"/>
    </row>
    <row r="746">
      <c r="E746" s="23"/>
      <c r="K746" s="39"/>
      <c r="L746" s="40"/>
    </row>
    <row r="747">
      <c r="E747" s="23"/>
      <c r="K747" s="39"/>
      <c r="L747" s="40"/>
    </row>
    <row r="748">
      <c r="E748" s="23"/>
      <c r="K748" s="39"/>
      <c r="L748" s="40"/>
    </row>
    <row r="749">
      <c r="E749" s="23"/>
      <c r="K749" s="39"/>
      <c r="L749" s="40"/>
    </row>
    <row r="750">
      <c r="E750" s="23"/>
      <c r="K750" s="39"/>
      <c r="L750" s="40"/>
    </row>
    <row r="751">
      <c r="E751" s="23"/>
      <c r="K751" s="39"/>
      <c r="L751" s="40"/>
    </row>
    <row r="752">
      <c r="E752" s="23"/>
      <c r="K752" s="39"/>
      <c r="L752" s="40"/>
    </row>
    <row r="753">
      <c r="E753" s="23"/>
      <c r="K753" s="39"/>
      <c r="L753" s="40"/>
    </row>
    <row r="754">
      <c r="E754" s="23"/>
      <c r="K754" s="39"/>
      <c r="L754" s="40"/>
    </row>
    <row r="755">
      <c r="E755" s="23"/>
      <c r="K755" s="39"/>
      <c r="L755" s="40"/>
    </row>
    <row r="756">
      <c r="E756" s="23"/>
      <c r="K756" s="39"/>
      <c r="L756" s="40"/>
    </row>
    <row r="757">
      <c r="E757" s="23"/>
      <c r="K757" s="39"/>
      <c r="L757" s="40"/>
    </row>
    <row r="758">
      <c r="E758" s="23"/>
      <c r="K758" s="39"/>
      <c r="L758" s="40"/>
    </row>
    <row r="759">
      <c r="E759" s="23"/>
      <c r="K759" s="39"/>
      <c r="L759" s="40"/>
    </row>
    <row r="760">
      <c r="E760" s="23"/>
      <c r="K760" s="39"/>
      <c r="L760" s="40"/>
    </row>
    <row r="761">
      <c r="E761" s="23"/>
      <c r="K761" s="39"/>
      <c r="L761" s="40"/>
    </row>
    <row r="762">
      <c r="E762" s="23"/>
      <c r="K762" s="39"/>
      <c r="L762" s="40"/>
    </row>
    <row r="763">
      <c r="E763" s="23"/>
      <c r="K763" s="39"/>
      <c r="L763" s="40"/>
    </row>
    <row r="764">
      <c r="E764" s="23"/>
      <c r="K764" s="39"/>
      <c r="L764" s="40"/>
    </row>
    <row r="765">
      <c r="E765" s="23"/>
      <c r="K765" s="39"/>
      <c r="L765" s="40"/>
    </row>
    <row r="766">
      <c r="E766" s="23"/>
      <c r="K766" s="39"/>
      <c r="L766" s="40"/>
    </row>
    <row r="767">
      <c r="E767" s="23"/>
      <c r="K767" s="39"/>
      <c r="L767" s="40"/>
    </row>
    <row r="768">
      <c r="E768" s="23"/>
      <c r="K768" s="39"/>
      <c r="L768" s="40"/>
    </row>
    <row r="769">
      <c r="E769" s="23"/>
      <c r="K769" s="39"/>
      <c r="L769" s="40"/>
    </row>
    <row r="770">
      <c r="E770" s="23"/>
      <c r="K770" s="39"/>
      <c r="L770" s="40"/>
    </row>
    <row r="771">
      <c r="E771" s="23"/>
      <c r="K771" s="39"/>
      <c r="L771" s="40"/>
    </row>
    <row r="772">
      <c r="E772" s="23"/>
      <c r="K772" s="39"/>
      <c r="L772" s="40"/>
    </row>
    <row r="773">
      <c r="E773" s="23"/>
      <c r="K773" s="39"/>
      <c r="L773" s="40"/>
    </row>
    <row r="774">
      <c r="E774" s="23"/>
      <c r="K774" s="39"/>
      <c r="L774" s="40"/>
    </row>
    <row r="775">
      <c r="E775" s="23"/>
      <c r="K775" s="39"/>
      <c r="L775" s="40"/>
    </row>
    <row r="776">
      <c r="E776" s="23"/>
      <c r="K776" s="39"/>
      <c r="L776" s="40"/>
    </row>
    <row r="777">
      <c r="E777" s="23"/>
      <c r="K777" s="39"/>
      <c r="L777" s="40"/>
    </row>
    <row r="778">
      <c r="E778" s="23"/>
      <c r="K778" s="39"/>
      <c r="L778" s="40"/>
    </row>
    <row r="779">
      <c r="E779" s="23"/>
      <c r="K779" s="39"/>
      <c r="L779" s="40"/>
    </row>
    <row r="780">
      <c r="E780" s="23"/>
      <c r="K780" s="39"/>
      <c r="L780" s="40"/>
    </row>
    <row r="781">
      <c r="E781" s="23"/>
      <c r="K781" s="39"/>
      <c r="L781" s="40"/>
    </row>
    <row r="782">
      <c r="E782" s="23"/>
      <c r="K782" s="39"/>
      <c r="L782" s="40"/>
    </row>
    <row r="783">
      <c r="E783" s="23"/>
      <c r="K783" s="39"/>
      <c r="L783" s="40"/>
    </row>
    <row r="784">
      <c r="E784" s="23"/>
      <c r="K784" s="39"/>
      <c r="L784" s="40"/>
    </row>
    <row r="785">
      <c r="E785" s="23"/>
      <c r="K785" s="39"/>
      <c r="L785" s="40"/>
    </row>
    <row r="786">
      <c r="E786" s="23"/>
      <c r="K786" s="39"/>
      <c r="L786" s="40"/>
    </row>
    <row r="787">
      <c r="E787" s="23"/>
      <c r="K787" s="39"/>
      <c r="L787" s="40"/>
    </row>
    <row r="788">
      <c r="E788" s="23"/>
      <c r="K788" s="39"/>
      <c r="L788" s="40"/>
    </row>
    <row r="789">
      <c r="E789" s="23"/>
      <c r="K789" s="39"/>
      <c r="L789" s="40"/>
    </row>
    <row r="790">
      <c r="E790" s="23"/>
      <c r="K790" s="39"/>
      <c r="L790" s="40"/>
    </row>
    <row r="791">
      <c r="E791" s="23"/>
      <c r="K791" s="39"/>
      <c r="L791" s="40"/>
    </row>
    <row r="792">
      <c r="E792" s="23"/>
      <c r="K792" s="39"/>
      <c r="L792" s="40"/>
    </row>
    <row r="793">
      <c r="E793" s="23"/>
      <c r="K793" s="39"/>
      <c r="L793" s="40"/>
    </row>
    <row r="794">
      <c r="E794" s="23"/>
      <c r="K794" s="39"/>
      <c r="L794" s="40"/>
    </row>
    <row r="795">
      <c r="E795" s="23"/>
      <c r="K795" s="39"/>
      <c r="L795" s="40"/>
    </row>
    <row r="796">
      <c r="E796" s="23"/>
      <c r="K796" s="39"/>
      <c r="L796" s="40"/>
    </row>
    <row r="797">
      <c r="E797" s="23"/>
      <c r="K797" s="39"/>
      <c r="L797" s="40"/>
    </row>
    <row r="798">
      <c r="E798" s="23"/>
      <c r="K798" s="39"/>
      <c r="L798" s="40"/>
    </row>
    <row r="799">
      <c r="E799" s="23"/>
      <c r="K799" s="39"/>
      <c r="L799" s="40"/>
    </row>
    <row r="800">
      <c r="E800" s="23"/>
      <c r="K800" s="39"/>
      <c r="L800" s="40"/>
    </row>
    <row r="801">
      <c r="E801" s="23"/>
      <c r="K801" s="39"/>
      <c r="L801" s="40"/>
    </row>
    <row r="802">
      <c r="E802" s="23"/>
      <c r="K802" s="39"/>
      <c r="L802" s="40"/>
    </row>
    <row r="803">
      <c r="E803" s="23"/>
      <c r="K803" s="39"/>
      <c r="L803" s="40"/>
    </row>
    <row r="804">
      <c r="E804" s="23"/>
      <c r="K804" s="39"/>
      <c r="L804" s="40"/>
    </row>
    <row r="805">
      <c r="E805" s="23"/>
      <c r="K805" s="39"/>
      <c r="L805" s="40"/>
    </row>
    <row r="806">
      <c r="E806" s="23"/>
      <c r="K806" s="39"/>
      <c r="L806" s="40"/>
    </row>
    <row r="807">
      <c r="E807" s="23"/>
      <c r="K807" s="39"/>
      <c r="L807" s="40"/>
    </row>
    <row r="808">
      <c r="E808" s="23"/>
      <c r="K808" s="39"/>
      <c r="L808" s="40"/>
    </row>
    <row r="809">
      <c r="E809" s="23"/>
      <c r="K809" s="39"/>
      <c r="L809" s="40"/>
    </row>
    <row r="810">
      <c r="E810" s="23"/>
      <c r="K810" s="39"/>
      <c r="L810" s="40"/>
    </row>
    <row r="811">
      <c r="E811" s="23"/>
      <c r="K811" s="39"/>
      <c r="L811" s="40"/>
    </row>
    <row r="812">
      <c r="E812" s="23"/>
      <c r="K812" s="39"/>
      <c r="L812" s="40"/>
    </row>
    <row r="813">
      <c r="E813" s="23"/>
      <c r="K813" s="39"/>
      <c r="L813" s="40"/>
    </row>
    <row r="814">
      <c r="E814" s="23"/>
      <c r="K814" s="39"/>
      <c r="L814" s="40"/>
    </row>
    <row r="815">
      <c r="E815" s="23"/>
      <c r="K815" s="39"/>
      <c r="L815" s="40"/>
    </row>
    <row r="816">
      <c r="E816" s="23"/>
      <c r="K816" s="39"/>
      <c r="L816" s="40"/>
    </row>
    <row r="817">
      <c r="E817" s="23"/>
      <c r="K817" s="39"/>
      <c r="L817" s="40"/>
    </row>
    <row r="818">
      <c r="E818" s="23"/>
      <c r="K818" s="39"/>
      <c r="L818" s="40"/>
    </row>
    <row r="819">
      <c r="E819" s="23"/>
      <c r="K819" s="39"/>
      <c r="L819" s="40"/>
    </row>
    <row r="820">
      <c r="E820" s="23"/>
      <c r="K820" s="39"/>
      <c r="L820" s="40"/>
    </row>
    <row r="821">
      <c r="E821" s="23"/>
      <c r="K821" s="39"/>
      <c r="L821" s="40"/>
    </row>
    <row r="822">
      <c r="E822" s="23"/>
      <c r="K822" s="39"/>
      <c r="L822" s="40"/>
    </row>
    <row r="823">
      <c r="E823" s="23"/>
      <c r="K823" s="39"/>
      <c r="L823" s="40"/>
    </row>
    <row r="824">
      <c r="E824" s="23"/>
      <c r="K824" s="39"/>
      <c r="L824" s="40"/>
    </row>
    <row r="825">
      <c r="E825" s="23"/>
      <c r="K825" s="39"/>
      <c r="L825" s="40"/>
    </row>
    <row r="826">
      <c r="E826" s="23"/>
      <c r="K826" s="39"/>
      <c r="L826" s="40"/>
    </row>
    <row r="827">
      <c r="E827" s="23"/>
      <c r="K827" s="39"/>
      <c r="L827" s="40"/>
    </row>
    <row r="828">
      <c r="E828" s="23"/>
      <c r="K828" s="39"/>
      <c r="L828" s="40"/>
    </row>
    <row r="829">
      <c r="E829" s="23"/>
      <c r="K829" s="39"/>
      <c r="L829" s="40"/>
    </row>
    <row r="830">
      <c r="E830" s="23"/>
      <c r="K830" s="39"/>
      <c r="L830" s="40"/>
    </row>
    <row r="831">
      <c r="E831" s="23"/>
      <c r="K831" s="39"/>
      <c r="L831" s="40"/>
    </row>
    <row r="832">
      <c r="E832" s="23"/>
      <c r="K832" s="39"/>
      <c r="L832" s="40"/>
    </row>
    <row r="833">
      <c r="E833" s="23"/>
      <c r="K833" s="39"/>
      <c r="L833" s="40"/>
    </row>
    <row r="834">
      <c r="E834" s="23"/>
      <c r="K834" s="39"/>
      <c r="L834" s="40"/>
    </row>
    <row r="835">
      <c r="E835" s="23"/>
      <c r="K835" s="39"/>
      <c r="L835" s="40"/>
    </row>
    <row r="836">
      <c r="E836" s="23"/>
      <c r="K836" s="39"/>
      <c r="L836" s="40"/>
    </row>
    <row r="837">
      <c r="E837" s="23"/>
      <c r="K837" s="39"/>
      <c r="L837" s="40"/>
    </row>
    <row r="838">
      <c r="E838" s="23"/>
      <c r="K838" s="39"/>
      <c r="L838" s="40"/>
    </row>
    <row r="839">
      <c r="E839" s="23"/>
      <c r="K839" s="39"/>
      <c r="L839" s="40"/>
    </row>
    <row r="840">
      <c r="E840" s="23"/>
      <c r="K840" s="39"/>
      <c r="L840" s="40"/>
    </row>
    <row r="841">
      <c r="E841" s="23"/>
      <c r="K841" s="39"/>
      <c r="L841" s="40"/>
    </row>
    <row r="842">
      <c r="E842" s="23"/>
      <c r="K842" s="39"/>
      <c r="L842" s="40"/>
    </row>
    <row r="843">
      <c r="E843" s="23"/>
      <c r="K843" s="39"/>
      <c r="L843" s="40"/>
    </row>
    <row r="844">
      <c r="E844" s="23"/>
      <c r="K844" s="39"/>
      <c r="L844" s="40"/>
    </row>
    <row r="845">
      <c r="E845" s="23"/>
      <c r="K845" s="39"/>
      <c r="L845" s="40"/>
    </row>
    <row r="846">
      <c r="E846" s="23"/>
      <c r="K846" s="39"/>
      <c r="L846" s="40"/>
    </row>
    <row r="847">
      <c r="E847" s="23"/>
      <c r="K847" s="39"/>
      <c r="L847" s="40"/>
    </row>
    <row r="848">
      <c r="E848" s="23"/>
      <c r="K848" s="39"/>
      <c r="L848" s="40"/>
    </row>
    <row r="849">
      <c r="E849" s="23"/>
      <c r="K849" s="39"/>
      <c r="L849" s="40"/>
    </row>
    <row r="850">
      <c r="E850" s="23"/>
      <c r="K850" s="39"/>
      <c r="L850" s="40"/>
    </row>
    <row r="851">
      <c r="E851" s="23"/>
      <c r="K851" s="39"/>
      <c r="L851" s="40"/>
    </row>
    <row r="852">
      <c r="E852" s="23"/>
      <c r="K852" s="39"/>
      <c r="L852" s="40"/>
    </row>
    <row r="853">
      <c r="E853" s="23"/>
      <c r="K853" s="39"/>
      <c r="L853" s="40"/>
    </row>
    <row r="854">
      <c r="E854" s="23"/>
      <c r="K854" s="39"/>
      <c r="L854" s="40"/>
    </row>
    <row r="855">
      <c r="E855" s="23"/>
      <c r="K855" s="39"/>
      <c r="L855" s="40"/>
    </row>
    <row r="856">
      <c r="E856" s="23"/>
      <c r="K856" s="39"/>
      <c r="L856" s="40"/>
    </row>
    <row r="857">
      <c r="E857" s="23"/>
      <c r="K857" s="39"/>
      <c r="L857" s="40"/>
    </row>
    <row r="858">
      <c r="E858" s="23"/>
      <c r="K858" s="39"/>
      <c r="L858" s="40"/>
    </row>
    <row r="859">
      <c r="E859" s="23"/>
      <c r="K859" s="39"/>
      <c r="L859" s="40"/>
    </row>
    <row r="860">
      <c r="E860" s="23"/>
      <c r="K860" s="39"/>
      <c r="L860" s="40"/>
    </row>
    <row r="861">
      <c r="E861" s="23"/>
      <c r="K861" s="39"/>
      <c r="L861" s="40"/>
    </row>
    <row r="862">
      <c r="E862" s="23"/>
      <c r="K862" s="39"/>
      <c r="L862" s="40"/>
    </row>
    <row r="863">
      <c r="E863" s="23"/>
      <c r="K863" s="39"/>
      <c r="L863" s="40"/>
    </row>
    <row r="864">
      <c r="E864" s="23"/>
      <c r="K864" s="39"/>
      <c r="L864" s="40"/>
    </row>
    <row r="865">
      <c r="E865" s="23"/>
      <c r="K865" s="39"/>
      <c r="L865" s="40"/>
    </row>
    <row r="866">
      <c r="E866" s="23"/>
      <c r="K866" s="39"/>
      <c r="L866" s="40"/>
    </row>
    <row r="867">
      <c r="E867" s="23"/>
      <c r="K867" s="39"/>
      <c r="L867" s="40"/>
    </row>
    <row r="868">
      <c r="E868" s="23"/>
      <c r="K868" s="39"/>
      <c r="L868" s="40"/>
    </row>
    <row r="869">
      <c r="E869" s="23"/>
      <c r="K869" s="39"/>
      <c r="L869" s="40"/>
    </row>
    <row r="870">
      <c r="E870" s="23"/>
      <c r="K870" s="39"/>
      <c r="L870" s="40"/>
    </row>
    <row r="871">
      <c r="E871" s="23"/>
      <c r="K871" s="39"/>
      <c r="L871" s="40"/>
    </row>
    <row r="872">
      <c r="E872" s="23"/>
      <c r="K872" s="39"/>
      <c r="L872" s="40"/>
    </row>
    <row r="873">
      <c r="E873" s="23"/>
      <c r="K873" s="39"/>
      <c r="L873" s="40"/>
    </row>
    <row r="874">
      <c r="E874" s="23"/>
      <c r="K874" s="39"/>
      <c r="L874" s="40"/>
    </row>
    <row r="875">
      <c r="E875" s="23"/>
      <c r="K875" s="39"/>
      <c r="L875" s="40"/>
    </row>
    <row r="876">
      <c r="E876" s="23"/>
      <c r="K876" s="39"/>
      <c r="L876" s="40"/>
    </row>
    <row r="877">
      <c r="E877" s="23"/>
      <c r="K877" s="39"/>
      <c r="L877" s="40"/>
    </row>
    <row r="878">
      <c r="E878" s="23"/>
      <c r="K878" s="39"/>
      <c r="L878" s="40"/>
    </row>
    <row r="879">
      <c r="E879" s="23"/>
      <c r="K879" s="39"/>
      <c r="L879" s="40"/>
    </row>
    <row r="880">
      <c r="E880" s="23"/>
      <c r="K880" s="39"/>
      <c r="L880" s="40"/>
    </row>
    <row r="881">
      <c r="E881" s="23"/>
      <c r="K881" s="39"/>
      <c r="L881" s="40"/>
    </row>
    <row r="882">
      <c r="E882" s="23"/>
      <c r="K882" s="39"/>
      <c r="L882" s="40"/>
    </row>
    <row r="883">
      <c r="E883" s="23"/>
      <c r="K883" s="39"/>
      <c r="L883" s="40"/>
    </row>
    <row r="884">
      <c r="E884" s="23"/>
      <c r="K884" s="39"/>
      <c r="L884" s="40"/>
    </row>
    <row r="885">
      <c r="E885" s="23"/>
      <c r="K885" s="39"/>
      <c r="L885" s="40"/>
    </row>
    <row r="886">
      <c r="E886" s="23"/>
      <c r="K886" s="39"/>
      <c r="L886" s="40"/>
    </row>
    <row r="887">
      <c r="E887" s="23"/>
      <c r="K887" s="39"/>
      <c r="L887" s="40"/>
    </row>
    <row r="888">
      <c r="E888" s="23"/>
      <c r="K888" s="39"/>
      <c r="L888" s="40"/>
    </row>
    <row r="889">
      <c r="E889" s="23"/>
      <c r="K889" s="39"/>
      <c r="L889" s="40"/>
    </row>
    <row r="890">
      <c r="E890" s="23"/>
      <c r="K890" s="39"/>
      <c r="L890" s="40"/>
    </row>
    <row r="891">
      <c r="E891" s="23"/>
      <c r="K891" s="39"/>
      <c r="L891" s="40"/>
    </row>
    <row r="892">
      <c r="E892" s="23"/>
      <c r="K892" s="39"/>
      <c r="L892" s="40"/>
    </row>
    <row r="893">
      <c r="E893" s="23"/>
      <c r="K893" s="39"/>
      <c r="L893" s="40"/>
    </row>
    <row r="894">
      <c r="E894" s="23"/>
      <c r="K894" s="39"/>
      <c r="L894" s="40"/>
    </row>
    <row r="895">
      <c r="E895" s="23"/>
      <c r="K895" s="39"/>
      <c r="L895" s="40"/>
    </row>
    <row r="896">
      <c r="E896" s="23"/>
      <c r="K896" s="39"/>
      <c r="L896" s="40"/>
    </row>
    <row r="897">
      <c r="E897" s="23"/>
      <c r="K897" s="39"/>
      <c r="L897" s="40"/>
    </row>
    <row r="898">
      <c r="E898" s="23"/>
      <c r="K898" s="39"/>
      <c r="L898" s="40"/>
    </row>
    <row r="899">
      <c r="E899" s="23"/>
      <c r="K899" s="39"/>
      <c r="L899" s="40"/>
    </row>
    <row r="900">
      <c r="E900" s="23"/>
      <c r="K900" s="39"/>
      <c r="L900" s="40"/>
    </row>
    <row r="901">
      <c r="E901" s="23"/>
      <c r="K901" s="39"/>
      <c r="L901" s="40"/>
    </row>
    <row r="902">
      <c r="E902" s="23"/>
      <c r="K902" s="39"/>
      <c r="L902" s="40"/>
    </row>
    <row r="903">
      <c r="E903" s="23"/>
      <c r="K903" s="39"/>
      <c r="L903" s="40"/>
    </row>
    <row r="904">
      <c r="E904" s="23"/>
      <c r="K904" s="39"/>
      <c r="L904" s="40"/>
    </row>
    <row r="905">
      <c r="E905" s="23"/>
      <c r="K905" s="39"/>
      <c r="L905" s="40"/>
    </row>
    <row r="906">
      <c r="E906" s="23"/>
      <c r="K906" s="39"/>
      <c r="L906" s="40"/>
    </row>
    <row r="907">
      <c r="E907" s="23"/>
      <c r="K907" s="39"/>
      <c r="L907" s="40"/>
    </row>
    <row r="908">
      <c r="E908" s="23"/>
      <c r="K908" s="39"/>
      <c r="L908" s="40"/>
    </row>
    <row r="909">
      <c r="E909" s="23"/>
      <c r="K909" s="39"/>
      <c r="L909" s="40"/>
    </row>
    <row r="910">
      <c r="E910" s="23"/>
      <c r="K910" s="39"/>
      <c r="L910" s="40"/>
    </row>
    <row r="911">
      <c r="E911" s="23"/>
      <c r="K911" s="39"/>
      <c r="L911" s="40"/>
    </row>
    <row r="912">
      <c r="E912" s="23"/>
      <c r="K912" s="39"/>
      <c r="L912" s="40"/>
    </row>
    <row r="913">
      <c r="E913" s="23"/>
      <c r="K913" s="39"/>
      <c r="L913" s="40"/>
    </row>
    <row r="914">
      <c r="E914" s="23"/>
      <c r="K914" s="39"/>
      <c r="L914" s="40"/>
    </row>
    <row r="915">
      <c r="E915" s="23"/>
      <c r="K915" s="39"/>
      <c r="L915" s="40"/>
    </row>
    <row r="916">
      <c r="E916" s="23"/>
      <c r="K916" s="39"/>
      <c r="L916" s="40"/>
    </row>
    <row r="917">
      <c r="E917" s="23"/>
      <c r="K917" s="39"/>
      <c r="L917" s="40"/>
    </row>
    <row r="918">
      <c r="E918" s="23"/>
      <c r="K918" s="39"/>
      <c r="L918" s="40"/>
    </row>
    <row r="919">
      <c r="E919" s="23"/>
      <c r="K919" s="39"/>
      <c r="L919" s="40"/>
    </row>
    <row r="920">
      <c r="E920" s="23"/>
      <c r="K920" s="39"/>
      <c r="L920" s="40"/>
    </row>
    <row r="921">
      <c r="E921" s="23"/>
      <c r="K921" s="39"/>
      <c r="L921" s="40"/>
    </row>
    <row r="922">
      <c r="E922" s="23"/>
      <c r="K922" s="39"/>
      <c r="L922" s="40"/>
    </row>
    <row r="923">
      <c r="E923" s="23"/>
      <c r="K923" s="39"/>
      <c r="L923" s="40"/>
    </row>
    <row r="924">
      <c r="E924" s="23"/>
      <c r="K924" s="39"/>
      <c r="L924" s="40"/>
    </row>
    <row r="925">
      <c r="E925" s="23"/>
      <c r="K925" s="39"/>
      <c r="L925" s="40"/>
    </row>
    <row r="926">
      <c r="E926" s="23"/>
      <c r="K926" s="39"/>
      <c r="L926" s="40"/>
    </row>
    <row r="927">
      <c r="E927" s="23"/>
      <c r="K927" s="39"/>
      <c r="L927" s="40"/>
    </row>
    <row r="928">
      <c r="E928" s="23"/>
      <c r="K928" s="39"/>
      <c r="L928" s="40"/>
    </row>
    <row r="929">
      <c r="E929" s="23"/>
      <c r="K929" s="39"/>
      <c r="L929" s="40"/>
    </row>
    <row r="930">
      <c r="E930" s="23"/>
      <c r="K930" s="39"/>
      <c r="L930" s="40"/>
    </row>
    <row r="931">
      <c r="E931" s="23"/>
      <c r="K931" s="39"/>
      <c r="L931" s="40"/>
    </row>
    <row r="932">
      <c r="E932" s="23"/>
      <c r="K932" s="39"/>
      <c r="L932" s="40"/>
    </row>
    <row r="933">
      <c r="E933" s="23"/>
      <c r="K933" s="39"/>
      <c r="L933" s="40"/>
    </row>
    <row r="934">
      <c r="E934" s="23"/>
      <c r="K934" s="39"/>
      <c r="L934" s="40"/>
    </row>
    <row r="935">
      <c r="E935" s="23"/>
      <c r="K935" s="39"/>
      <c r="L935" s="40"/>
    </row>
    <row r="936">
      <c r="E936" s="23"/>
      <c r="K936" s="39"/>
      <c r="L936" s="40"/>
    </row>
    <row r="937">
      <c r="E937" s="23"/>
      <c r="K937" s="39"/>
      <c r="L937" s="40"/>
    </row>
    <row r="938">
      <c r="E938" s="23"/>
      <c r="K938" s="39"/>
      <c r="L938" s="40"/>
    </row>
    <row r="939">
      <c r="E939" s="23"/>
      <c r="K939" s="39"/>
      <c r="L939" s="40"/>
    </row>
    <row r="940">
      <c r="E940" s="23"/>
      <c r="K940" s="39"/>
      <c r="L940" s="40"/>
    </row>
    <row r="941">
      <c r="E941" s="23"/>
      <c r="K941" s="39"/>
      <c r="L941" s="40"/>
    </row>
    <row r="942">
      <c r="E942" s="23"/>
      <c r="K942" s="39"/>
      <c r="L942" s="40"/>
    </row>
    <row r="943">
      <c r="E943" s="23"/>
      <c r="K943" s="39"/>
      <c r="L943" s="40"/>
    </row>
    <row r="944">
      <c r="E944" s="23"/>
      <c r="K944" s="39"/>
      <c r="L944" s="40"/>
    </row>
    <row r="945">
      <c r="E945" s="23"/>
      <c r="K945" s="39"/>
      <c r="L945" s="40"/>
    </row>
    <row r="946">
      <c r="E946" s="23"/>
      <c r="K946" s="39"/>
      <c r="L946" s="40"/>
    </row>
    <row r="947">
      <c r="E947" s="23"/>
      <c r="K947" s="39"/>
      <c r="L947" s="40"/>
    </row>
    <row r="948">
      <c r="E948" s="23"/>
      <c r="K948" s="39"/>
      <c r="L948" s="40"/>
    </row>
    <row r="949">
      <c r="E949" s="23"/>
      <c r="K949" s="39"/>
      <c r="L949" s="40"/>
    </row>
    <row r="950">
      <c r="E950" s="23"/>
      <c r="K950" s="39"/>
      <c r="L950" s="40"/>
    </row>
    <row r="951">
      <c r="E951" s="23"/>
      <c r="K951" s="39"/>
      <c r="L951" s="40"/>
    </row>
    <row r="952">
      <c r="E952" s="23"/>
      <c r="K952" s="39"/>
      <c r="L952" s="40"/>
    </row>
    <row r="953">
      <c r="E953" s="23"/>
      <c r="K953" s="39"/>
      <c r="L953" s="40"/>
    </row>
    <row r="954">
      <c r="E954" s="23"/>
      <c r="K954" s="39"/>
      <c r="L954" s="40"/>
    </row>
    <row r="955">
      <c r="E955" s="23"/>
      <c r="K955" s="39"/>
      <c r="L955" s="40"/>
    </row>
    <row r="956">
      <c r="E956" s="23"/>
      <c r="K956" s="39"/>
      <c r="L956" s="40"/>
    </row>
    <row r="957">
      <c r="E957" s="23"/>
      <c r="K957" s="39"/>
      <c r="L957" s="40"/>
    </row>
    <row r="958">
      <c r="E958" s="23"/>
      <c r="K958" s="39"/>
      <c r="L958" s="40"/>
    </row>
    <row r="959">
      <c r="E959" s="23"/>
      <c r="K959" s="39"/>
      <c r="L959" s="40"/>
    </row>
    <row r="960">
      <c r="E960" s="23"/>
      <c r="K960" s="39"/>
      <c r="L960" s="40"/>
    </row>
    <row r="961">
      <c r="E961" s="23"/>
      <c r="K961" s="39"/>
      <c r="L961" s="40"/>
    </row>
    <row r="962">
      <c r="E962" s="23"/>
      <c r="K962" s="39"/>
      <c r="L962" s="40"/>
    </row>
    <row r="963">
      <c r="E963" s="23"/>
      <c r="K963" s="39"/>
      <c r="L963" s="40"/>
    </row>
    <row r="964">
      <c r="E964" s="23"/>
      <c r="K964" s="39"/>
      <c r="L964" s="40"/>
    </row>
    <row r="965">
      <c r="E965" s="23"/>
      <c r="K965" s="39"/>
      <c r="L965" s="40"/>
    </row>
    <row r="966">
      <c r="E966" s="23"/>
      <c r="K966" s="39"/>
      <c r="L966" s="40"/>
    </row>
    <row r="967">
      <c r="E967" s="23"/>
      <c r="K967" s="39"/>
      <c r="L967" s="40"/>
    </row>
    <row r="968">
      <c r="E968" s="23"/>
      <c r="K968" s="39"/>
      <c r="L968" s="40"/>
    </row>
    <row r="969">
      <c r="E969" s="23"/>
      <c r="K969" s="39"/>
      <c r="L969" s="40"/>
    </row>
    <row r="970">
      <c r="E970" s="23"/>
      <c r="K970" s="39"/>
      <c r="L970" s="40"/>
    </row>
    <row r="971">
      <c r="E971" s="23"/>
      <c r="K971" s="39"/>
      <c r="L971" s="40"/>
    </row>
    <row r="972">
      <c r="E972" s="23"/>
      <c r="K972" s="39"/>
      <c r="L972" s="40"/>
    </row>
    <row r="973">
      <c r="E973" s="23"/>
      <c r="K973" s="39"/>
      <c r="L973" s="40"/>
    </row>
    <row r="974">
      <c r="E974" s="23"/>
      <c r="K974" s="39"/>
      <c r="L974" s="40"/>
    </row>
    <row r="975">
      <c r="E975" s="23"/>
      <c r="K975" s="39"/>
      <c r="L975" s="40"/>
    </row>
    <row r="976">
      <c r="E976" s="23"/>
      <c r="K976" s="39"/>
      <c r="L976" s="40"/>
    </row>
    <row r="977">
      <c r="E977" s="23"/>
      <c r="K977" s="39"/>
      <c r="L977" s="40"/>
    </row>
    <row r="978">
      <c r="E978" s="23"/>
      <c r="K978" s="39"/>
      <c r="L978" s="40"/>
    </row>
    <row r="979">
      <c r="E979" s="23"/>
      <c r="K979" s="39"/>
      <c r="L979" s="40"/>
    </row>
    <row r="980">
      <c r="E980" s="23"/>
      <c r="K980" s="39"/>
      <c r="L980" s="40"/>
    </row>
    <row r="981">
      <c r="E981" s="23"/>
      <c r="K981" s="39"/>
      <c r="L981" s="40"/>
    </row>
    <row r="982">
      <c r="E982" s="23"/>
      <c r="K982" s="39"/>
      <c r="L982" s="40"/>
    </row>
    <row r="983">
      <c r="E983" s="23"/>
      <c r="K983" s="39"/>
      <c r="L983" s="40"/>
    </row>
    <row r="984">
      <c r="E984" s="23"/>
      <c r="K984" s="39"/>
      <c r="L984" s="40"/>
    </row>
    <row r="985">
      <c r="E985" s="23"/>
      <c r="K985" s="39"/>
      <c r="L985" s="40"/>
    </row>
    <row r="986">
      <c r="E986" s="23"/>
      <c r="K986" s="39"/>
      <c r="L986" s="40"/>
    </row>
    <row r="987">
      <c r="E987" s="23"/>
      <c r="K987" s="39"/>
      <c r="L987" s="40"/>
    </row>
    <row r="988">
      <c r="E988" s="23"/>
      <c r="K988" s="39"/>
      <c r="L988" s="40"/>
    </row>
    <row r="989">
      <c r="E989" s="23"/>
      <c r="K989" s="39"/>
      <c r="L989" s="40"/>
    </row>
    <row r="990">
      <c r="E990" s="23"/>
      <c r="K990" s="39"/>
      <c r="L990" s="40"/>
    </row>
    <row r="991">
      <c r="E991" s="23"/>
      <c r="K991" s="39"/>
      <c r="L991" s="40"/>
    </row>
    <row r="992">
      <c r="E992" s="23"/>
      <c r="K992" s="39"/>
      <c r="L992" s="40"/>
    </row>
    <row r="993">
      <c r="E993" s="23"/>
      <c r="K993" s="39"/>
      <c r="L993" s="40"/>
    </row>
    <row r="994">
      <c r="E994" s="23"/>
      <c r="K994" s="39"/>
      <c r="L994" s="40"/>
    </row>
    <row r="995">
      <c r="E995" s="23"/>
      <c r="K995" s="39"/>
      <c r="L995" s="40"/>
    </row>
    <row r="996">
      <c r="E996" s="23"/>
      <c r="K996" s="39"/>
      <c r="L996" s="40"/>
    </row>
    <row r="997">
      <c r="E997" s="23"/>
      <c r="K997" s="39"/>
      <c r="L997" s="40"/>
    </row>
    <row r="998">
      <c r="E998" s="23"/>
      <c r="K998" s="39"/>
      <c r="L998" s="40"/>
    </row>
    <row r="999">
      <c r="E999" s="23"/>
      <c r="K999" s="39"/>
      <c r="L999" s="40"/>
    </row>
    <row r="1000">
      <c r="E1000" s="23"/>
      <c r="K1000" s="39"/>
      <c r="L1000" s="40"/>
    </row>
  </sheetData>
  <drawing r:id="rId1"/>
</worksheet>
</file>